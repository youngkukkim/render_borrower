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현재_통합_문서" defaultThemeVersion="124226"/>
  <bookViews>
    <workbookView xWindow="240" yWindow="108" windowWidth="14808" windowHeight="8016" activeTab="1"/>
  </bookViews>
  <sheets>
    <sheet name="0.Set" sheetId="6" r:id="rId1"/>
    <sheet name="01.Feildmap" sheetId="7" r:id="rId2"/>
    <sheet name="02.Concept" sheetId="8" r:id="rId3"/>
    <sheet name="03.Backdata" sheetId="9" r:id="rId4"/>
    <sheet name="04.Calculation" sheetId="10" r:id="rId5"/>
    <sheet name="샘플&gt;&gt;" sheetId="5" r:id="rId6"/>
    <sheet name="Report" sheetId="4" r:id="rId7"/>
    <sheet name="Lead" sheetId="2" r:id="rId8"/>
    <sheet name="Back data" sheetId="3" r:id="rId9"/>
  </sheets>
  <definedNames>
    <definedName name="_xlnm._FilterDatabase" localSheetId="8" hidden="1">'Back data'!$B$8:$D$22</definedName>
    <definedName name="_xlnm._FilterDatabase" localSheetId="6" hidden="1">Report!$B$1:$D$521</definedName>
  </definedNames>
  <calcPr calcId="152511"/>
</workbook>
</file>

<file path=xl/calcChain.xml><?xml version="1.0" encoding="utf-8"?>
<calcChain xmlns="http://schemas.openxmlformats.org/spreadsheetml/2006/main">
  <c r="F521" i="4" l="1"/>
  <c r="G520" i="4" s="1"/>
  <c r="F440" i="4"/>
  <c r="G436" i="4" s="1"/>
  <c r="F380" i="4"/>
  <c r="F379" i="4"/>
  <c r="F378" i="4"/>
  <c r="F377" i="4"/>
  <c r="F376" i="4"/>
  <c r="F382" i="4" s="1"/>
  <c r="G375" i="4"/>
  <c r="G378" i="4" s="1"/>
  <c r="H375" i="4"/>
  <c r="H376" i="4" s="1"/>
  <c r="F374" i="4"/>
  <c r="G374" i="4"/>
  <c r="H374" i="4"/>
  <c r="G373" i="4"/>
  <c r="F373" i="4"/>
  <c r="H373" i="4"/>
  <c r="G372" i="4"/>
  <c r="F372" i="4"/>
  <c r="H372" i="4"/>
  <c r="G371" i="4"/>
  <c r="F371" i="4"/>
  <c r="H371" i="4"/>
  <c r="G370" i="4"/>
  <c r="F370" i="4"/>
  <c r="H370" i="4"/>
  <c r="F369" i="4"/>
  <c r="G369" i="4"/>
  <c r="H369" i="4"/>
  <c r="H368" i="4"/>
  <c r="G368" i="4"/>
  <c r="G367" i="4"/>
  <c r="H367" i="4"/>
  <c r="G331" i="4"/>
  <c r="F331" i="4"/>
  <c r="H330" i="4" s="1"/>
  <c r="G515" i="4" l="1"/>
  <c r="G516" i="4"/>
  <c r="G517" i="4"/>
  <c r="G518" i="4"/>
  <c r="G519" i="4"/>
  <c r="G439" i="4"/>
  <c r="G440" i="4"/>
  <c r="H379" i="4"/>
  <c r="G437" i="4"/>
  <c r="G438" i="4"/>
  <c r="G379" i="4"/>
  <c r="H380" i="4"/>
  <c r="G380" i="4"/>
  <c r="H378" i="4"/>
  <c r="G376" i="4"/>
  <c r="H377" i="4"/>
  <c r="G377" i="4"/>
  <c r="G435" i="4"/>
  <c r="H326" i="4"/>
  <c r="H328" i="4"/>
  <c r="H329" i="4"/>
  <c r="H325" i="4"/>
  <c r="H327" i="4"/>
  <c r="H382" i="4" l="1"/>
  <c r="G521" i="4"/>
  <c r="G382" i="4"/>
  <c r="H331" i="4"/>
  <c r="R238" i="4"/>
  <c r="Q238" i="4"/>
  <c r="P238" i="4"/>
  <c r="O238" i="4"/>
  <c r="N238" i="4"/>
  <c r="M238" i="4"/>
  <c r="L238" i="4"/>
  <c r="K238" i="4"/>
  <c r="J238" i="4"/>
  <c r="I238" i="4"/>
  <c r="H238" i="4"/>
  <c r="G238" i="4"/>
  <c r="R223" i="4"/>
  <c r="Q223" i="4"/>
  <c r="P223" i="4"/>
  <c r="O223" i="4"/>
  <c r="N223" i="4"/>
  <c r="M223" i="4"/>
  <c r="L223" i="4"/>
  <c r="K223" i="4"/>
  <c r="J223" i="4"/>
  <c r="I223" i="4"/>
  <c r="H223" i="4"/>
  <c r="G223" i="4"/>
  <c r="F201" i="4"/>
  <c r="G200" i="4"/>
  <c r="G199" i="4"/>
  <c r="F187" i="4"/>
  <c r="G186" i="4" s="1"/>
  <c r="F172" i="4"/>
  <c r="F173" i="4"/>
  <c r="F171" i="4"/>
  <c r="F170" i="4"/>
  <c r="G168" i="4"/>
  <c r="G173" i="4" s="1"/>
  <c r="H168" i="4"/>
  <c r="H170" i="4" s="1"/>
  <c r="G164" i="4"/>
  <c r="F164" i="4"/>
  <c r="H164" i="4"/>
  <c r="G163" i="4"/>
  <c r="F163" i="4"/>
  <c r="H163" i="4"/>
  <c r="I144" i="4"/>
  <c r="H144" i="4"/>
  <c r="G144" i="4"/>
  <c r="F144" i="4"/>
  <c r="I141" i="4"/>
  <c r="H141" i="4"/>
  <c r="G141" i="4"/>
  <c r="F141" i="4"/>
  <c r="I135" i="4"/>
  <c r="H135" i="4"/>
  <c r="H165" i="4" s="1"/>
  <c r="G135" i="4"/>
  <c r="G165" i="4" s="1"/>
  <c r="F135" i="4"/>
  <c r="F165" i="4" s="1"/>
  <c r="I132" i="4"/>
  <c r="H132" i="4"/>
  <c r="H139" i="4" s="1"/>
  <c r="G132" i="4"/>
  <c r="F132" i="4"/>
  <c r="I128" i="4"/>
  <c r="H128" i="4"/>
  <c r="G128" i="4"/>
  <c r="F128" i="4"/>
  <c r="G201" i="4" l="1"/>
  <c r="H173" i="4"/>
  <c r="G172" i="4"/>
  <c r="H150" i="4"/>
  <c r="H166" i="4" s="1"/>
  <c r="I150" i="4"/>
  <c r="H161" i="4"/>
  <c r="F139" i="4"/>
  <c r="G182" i="4"/>
  <c r="G183" i="4"/>
  <c r="G170" i="4"/>
  <c r="G184" i="4"/>
  <c r="G185" i="4"/>
  <c r="G171" i="4"/>
  <c r="H171" i="4"/>
  <c r="F150" i="4"/>
  <c r="F166" i="4" s="1"/>
  <c r="G161" i="4"/>
  <c r="G150" i="4"/>
  <c r="G166" i="4" s="1"/>
  <c r="F174" i="4"/>
  <c r="G167" i="4"/>
  <c r="H167" i="4"/>
  <c r="F167" i="4"/>
  <c r="I139" i="4"/>
  <c r="H172" i="4"/>
  <c r="G139" i="4"/>
  <c r="E45" i="3"/>
  <c r="E44" i="3"/>
  <c r="B44" i="3"/>
  <c r="C44" i="3" s="1"/>
  <c r="E25" i="3"/>
  <c r="H174" i="4" l="1"/>
  <c r="G174" i="4"/>
  <c r="G187" i="4"/>
  <c r="L6" i="2"/>
  <c r="M6" i="2" s="1"/>
</calcChain>
</file>

<file path=xl/sharedStrings.xml><?xml version="1.0" encoding="utf-8"?>
<sst xmlns="http://schemas.openxmlformats.org/spreadsheetml/2006/main" count="2213" uniqueCount="1268">
  <si>
    <t>A. 기본정보 섹션 (보고서 첫 머리 / 심의신청서 영역)</t>
  </si>
  <si>
    <t>필드ID</t>
  </si>
  <si>
    <t>필드명 (엑셀 컬럼)</t>
  </si>
  <si>
    <t>형식</t>
  </si>
  <si>
    <t>보고서 반영 위치</t>
  </si>
  <si>
    <t>비고</t>
  </si>
  <si>
    <t>A01</t>
  </si>
  <si>
    <t>문서접수번호</t>
  </si>
  <si>
    <t>텍스트</t>
  </si>
  <si>
    <t>수기</t>
  </si>
  <si>
    <t>표지 상단</t>
  </si>
  <si>
    <t>내부 접수용 코드</t>
  </si>
  <si>
    <t>A02</t>
  </si>
  <si>
    <t>여신접수일자</t>
  </si>
  <si>
    <t>날짜(YYYY.MM.DD)</t>
  </si>
  <si>
    <t>-</t>
  </si>
  <si>
    <t>A03</t>
  </si>
  <si>
    <t>여신심사위원회 개최일자</t>
  </si>
  <si>
    <t>날짜</t>
  </si>
  <si>
    <t>A04</t>
  </si>
  <si>
    <t>신청유형</t>
  </si>
  <si>
    <t>드롭다운(신규/기한연장/대환/조건변경)</t>
  </si>
  <si>
    <t>체크박스 영역에 표시</t>
  </si>
  <si>
    <t>문구 “■ 신규 □ …” 형식 자동 생성</t>
  </si>
  <si>
    <t>A05</t>
  </si>
  <si>
    <t>신청부서</t>
  </si>
  <si>
    <t>예: “종합금융1부2팀”</t>
  </si>
  <si>
    <t>A06</t>
  </si>
  <si>
    <t>권유자</t>
  </si>
  <si>
    <t>권유자 직급 포함 가능</t>
  </si>
  <si>
    <t>A07</t>
  </si>
  <si>
    <t>담당 심사역</t>
  </si>
  <si>
    <t>A08</t>
  </si>
  <si>
    <t>상품명</t>
  </si>
  <si>
    <t>“대부업(체)대출”, “대부업자금대출” 등</t>
  </si>
  <si>
    <t>A09</t>
  </si>
  <si>
    <t>신청사 명칭(법인명)</t>
  </si>
  <si>
    <t>표지 / 1.대출개요 / 3.신청사현황</t>
  </si>
  <si>
    <t>A10</t>
  </si>
  <si>
    <t>연대보증인</t>
  </si>
  <si>
    <t>텍스트(복수 가능)</t>
  </si>
  <si>
    <t>표지 / 채권보전 계획</t>
  </si>
  <si>
    <t>최대주주명, 관계사명 등</t>
  </si>
  <si>
    <t>A11</t>
  </si>
  <si>
    <t>관계사</t>
  </si>
  <si>
    <t>텍스트 또는 다중선택</t>
  </si>
  <si>
    <t>표지 / 관계사 현황 섹션(G)</t>
  </si>
  <si>
    <t>관계사 없으면 “해당사항 없음” 출력</t>
  </si>
  <si>
    <t>B. 대출 개요 섹션 (1. 대출 개요)</t>
  </si>
  <si>
    <t>B01</t>
  </si>
  <si>
    <t>대출금액</t>
  </si>
  <si>
    <t>숫자 (원 단위)</t>
  </si>
  <si>
    <t>“금○○억원(\○○)”</t>
  </si>
  <si>
    <t>B02</t>
  </si>
  <si>
    <t>대출과목</t>
  </si>
  <si>
    <t>“일반자금대출” 등</t>
  </si>
  <si>
    <t>내부 상품코드 맵핑 가능</t>
  </si>
  <si>
    <t>B03</t>
  </si>
  <si>
    <t>대출이율</t>
  </si>
  <si>
    <t>숫자(%)</t>
  </si>
  <si>
    <t>“7.80%”</t>
  </si>
  <si>
    <t>소수 2자리 고정 권장</t>
  </si>
  <si>
    <t>B04</t>
  </si>
  <si>
    <t>대출기간(개월)</t>
  </si>
  <si>
    <t>숫자</t>
  </si>
  <si>
    <t>“20개월” 등</t>
  </si>
  <si>
    <t>만기일 자동계산용으로도 활용 가능</t>
  </si>
  <si>
    <t>B05</t>
  </si>
  <si>
    <t>취급예정일</t>
  </si>
  <si>
    <t>“2024.07.00”</t>
  </si>
  <si>
    <t>00일 처리도 실제 템플릿 그대로 반영 가능하게 허용</t>
  </si>
  <si>
    <t>B06</t>
  </si>
  <si>
    <t>상환방식</t>
  </si>
  <si>
    <t>드롭다운(원리금균등분할/원금균등/만기일시/원금자유/원리금균등+잔존만기일시 등)</t>
  </si>
  <si>
    <t>개요/상환방법/월 상환액</t>
  </si>
  <si>
    <t>상품별로 다름</t>
  </si>
  <si>
    <t>B07</t>
  </si>
  <si>
    <t>월 상환스케줄(월 상환액)</t>
  </si>
  <si>
    <t>숫자(백만원 단위 표기용)</t>
  </si>
  <si>
    <t>자동 계산 가능</t>
  </si>
  <si>
    <t>“원리금균등분할상환(월 53.4백만원)”</t>
  </si>
  <si>
    <t>원리금균등 등 공식을 엑셀에서 계산 후 텍스트에 삽입</t>
  </si>
  <si>
    <t>B08</t>
  </si>
  <si>
    <t>자금용도</t>
  </si>
  <si>
    <t>텍스트 (운영자금/리파이낸싱/채권매입재원 등)</t>
  </si>
  <si>
    <t>대출 개요에 “자금용도 운영자금”</t>
  </si>
  <si>
    <t>심사포인트</t>
  </si>
  <si>
    <t>B09</t>
  </si>
  <si>
    <t>총자산한도배수</t>
  </si>
  <si>
    <t>숫자(x.xx배)</t>
  </si>
  <si>
    <t>자동 (B/S에서 산출)</t>
  </si>
  <si>
    <t>“총자산한도 6.20배(’23.12 기준)”</t>
  </si>
  <si>
    <t>B10</t>
  </si>
  <si>
    <t>취급예정일 기준 대부업대출 잔액</t>
  </si>
  <si>
    <t>숫자(억원)</t>
  </si>
  <si>
    <t>수기 또는 자동(관계사 포함?)</t>
  </si>
  <si>
    <t>대출개요 표 안에 들어감</t>
  </si>
  <si>
    <t>심사기관별로 요구할 수 있음</t>
  </si>
  <si>
    <t>B11</t>
  </si>
  <si>
    <t>중도상환수수료 조건</t>
  </si>
  <si>
    <t>“취급 후 15개월 내 스케줄 외 상환 시 1%”</t>
  </si>
  <si>
    <t>전형적 코븐언트, 자동 문구화 가능(매개변수: 개월수, %)</t>
  </si>
  <si>
    <t>B12</t>
  </si>
  <si>
    <t>담보 조건 - 물적</t>
  </si>
  <si>
    <t>텍스트(템플릿+변수)</t>
  </si>
  <si>
    <t>반자동</t>
  </si>
  <si>
    <t>“당행 대출금액의 130%에 해당하는 신청사 신용대출채권 양도 담보”</t>
  </si>
  <si>
    <t>%와 담보자산 종류(신용채권/부동산담보채권 등)를 변수화</t>
  </si>
  <si>
    <t>B13</t>
  </si>
  <si>
    <t>담보 조건 - 인적</t>
  </si>
  <si>
    <t>“최대주주 000 한정근보증(대출금의 130%)”</t>
  </si>
  <si>
    <t>보증 범위(%), 보증인명 변수화</t>
  </si>
  <si>
    <t>B14</t>
  </si>
  <si>
    <t>담보유지 의무/사후관리</t>
  </si>
  <si>
    <t>“담보비율 130% 미달 시 익월 채권교체” 등</t>
  </si>
  <si>
    <t>사후관리 조항 세트화 가능</t>
  </si>
  <si>
    <t>C. 채권보전 / 기존 거래현황 (2. 채권보전 계획 + 신청사 당행 차입현황)</t>
  </si>
  <si>
    <t>C01</t>
  </si>
  <si>
    <t>담보비율 요건(%)</t>
  </si>
  <si>
    <t>“당행 대출금액의 130%”</t>
  </si>
  <si>
    <t>기본값 130% 많이 반복됨</t>
  </si>
  <si>
    <t>C02</t>
  </si>
  <si>
    <t>담보자산 유형</t>
  </si>
  <si>
    <t>드롭다운(신용대출채권/부동산담보/기타)</t>
  </si>
  <si>
    <t>물적담보 설명</t>
  </si>
  <si>
    <t>업체마다 다름</t>
  </si>
  <si>
    <t>C03</t>
  </si>
  <si>
    <t>담보자산 잔액(담보제공가능채권)</t>
  </si>
  <si>
    <t>“담보제공 가능 신용대출채권 약 57억원” 등</t>
  </si>
  <si>
    <t>보고서에 그대로 노출됨</t>
  </si>
  <si>
    <t>C04</t>
  </si>
  <si>
    <t>담보추적 방식</t>
  </si>
  <si>
    <t>드롭다운(월별확인서/담보실사/IP조회 등)</t>
  </si>
  <si>
    <t>“월별 채권내역 확인서 제출 또는 전산 제공”</t>
  </si>
  <si>
    <t>반정형</t>
  </si>
  <si>
    <t>C05</t>
  </si>
  <si>
    <t>보증인1 이름</t>
  </si>
  <si>
    <t>인적담보 표</t>
  </si>
  <si>
    <t>최대주주명</t>
  </si>
  <si>
    <t>C06</t>
  </si>
  <si>
    <t>보증인1 보증형태</t>
  </si>
  <si>
    <t>드롭다운(연대보증/한정근보증 등)</t>
  </si>
  <si>
    <t>C07</t>
  </si>
  <si>
    <t>보증한도비율</t>
  </si>
  <si>
    <t>“대출금의 130%”</t>
  </si>
  <si>
    <t>동일패턴</t>
  </si>
  <si>
    <t>C08</t>
  </si>
  <si>
    <t>보증인1 주요 경력</t>
  </si>
  <si>
    <t>보증인 경력 사항 표</t>
  </si>
  <si>
    <t>NICE 점수 등 포함 가능 여부</t>
  </si>
  <si>
    <t>C09</t>
  </si>
  <si>
    <t>기거래 이력(회차/누적취급액/정상여부)</t>
  </si>
  <si>
    <t>표(회차별, 금액별)</t>
  </si>
  <si>
    <t>일부 자동</t>
  </si>
  <si>
    <t>“2014년~현재까지 누적 몇 회, 누적취급액 ○○억원 정상거래”</t>
  </si>
  <si>
    <t>여신사내 레코드에서 끌어올 수 있는 값이면 자동화 가능</t>
  </si>
  <si>
    <t>C10</t>
  </si>
  <si>
    <t>신청사 및 관계사 당행 차입현황 테이블</t>
  </si>
  <si>
    <t>표(대출일, 만기일, 금리, 약정담보비율, 현 담보비율, 담보금액 등)</t>
  </si>
  <si>
    <t>수기/붙여넣기</t>
  </si>
  <si>
    <t>본문 및 별첨</t>
  </si>
  <si>
    <t>이 표는 붙여넣기 형태여도 Word에 그대로 박혀야 해서 Range 변환으로 자동화 가능</t>
  </si>
  <si>
    <t>D. 신청사 현황 (3. 신청사 현황)</t>
  </si>
  <si>
    <t>D1. 기본 법인 정보</t>
  </si>
  <si>
    <t>D01</t>
  </si>
  <si>
    <t>상호(법인명)</t>
  </si>
  <si>
    <t>“업체명”</t>
  </si>
  <si>
    <t>D02</t>
  </si>
  <si>
    <t>대표이사 성명</t>
  </si>
  <si>
    <t>“대표이사 ○○○”</t>
  </si>
  <si>
    <t>복수 대표(각자대표) 가능</t>
  </si>
  <si>
    <t>D03</t>
  </si>
  <si>
    <t>사업내용(업태/업종)</t>
  </si>
  <si>
    <t>“대부업” 등</t>
  </si>
  <si>
    <t>업종코드 통일 필요</t>
  </si>
  <si>
    <t>D04</t>
  </si>
  <si>
    <t>기업형태</t>
  </si>
  <si>
    <t>드롭다운(외감, 코스닥, 중소, 비외감 등)</t>
  </si>
  <si>
    <t>“기업형태 외감” 등</t>
  </si>
  <si>
    <t>D05</t>
  </si>
  <si>
    <t>본사 주소</t>
  </si>
  <si>
    <t>본사 소재지</t>
  </si>
  <si>
    <t>D06</t>
  </si>
  <si>
    <t>설립일</t>
  </si>
  <si>
    <t>“설립일자 2014년 12월 15일”</t>
  </si>
  <si>
    <t>포맷 유지</t>
  </si>
  <si>
    <t>D07</t>
  </si>
  <si>
    <t>자본금(자본금=납입자본금)</t>
  </si>
  <si>
    <t>숫자(백만원/억원)</t>
  </si>
  <si>
    <t>“자본금 1,142백만원” 등</t>
  </si>
  <si>
    <t>D08</t>
  </si>
  <si>
    <t>대부업 등록번호</t>
  </si>
  <si>
    <t>“2016-금감원-0037(대부업)”</t>
  </si>
  <si>
    <t>규제 준수 체크 요소</t>
  </si>
  <si>
    <t>D09</t>
  </si>
  <si>
    <t>사업자등록번호/법인등록번호</t>
  </si>
  <si>
    <t>신청사 개요 표</t>
  </si>
  <si>
    <t>심사 시 필수확인 항목</t>
  </si>
  <si>
    <t>D2. 주주현황</t>
  </si>
  <si>
    <t>D10</t>
  </si>
  <si>
    <t>주주명</t>
  </si>
  <si>
    <t>텍스트(복수행)</t>
  </si>
  <si>
    <t>주주현황 표 열</t>
  </si>
  <si>
    <t>최대주주 식별 필요</t>
  </si>
  <si>
    <t>D11</t>
  </si>
  <si>
    <t>주식수</t>
  </si>
  <si>
    <t>주주현황 표</t>
  </si>
  <si>
    <t>D12</t>
  </si>
  <si>
    <t>출자금액</t>
  </si>
  <si>
    <t>숫자(원)</t>
  </si>
  <si>
    <t>D13</t>
  </si>
  <si>
    <t>지분율(%)</t>
  </si>
  <si>
    <t>계산식: 해당주식수 / 전체주식수</t>
  </si>
  <si>
    <t>D14</t>
  </si>
  <si>
    <t>비고(최대주주/대표이사 등)</t>
  </si>
  <si>
    <t>보고서 문구에 그대로 나감</t>
  </si>
  <si>
    <t>D3. 경영진/대표이사 이력</t>
  </si>
  <si>
    <t>D20</t>
  </si>
  <si>
    <t>경영진 이름</t>
  </si>
  <si>
    <t>“박은섭(740112-1)” 등</t>
  </si>
  <si>
    <t>주민번호 마스킹 수준은 내부 기준에 맞춰야 함</t>
  </si>
  <si>
    <t>D21</t>
  </si>
  <si>
    <t>주요 경력(과거 직책)</t>
  </si>
  <si>
    <t>멀티라인 텍스트</t>
  </si>
  <si>
    <t>대표이사 경력사항 표</t>
  </si>
  <si>
    <t>템플릿화 가능 (“前 ○○”, “現 ○○”)</t>
  </si>
  <si>
    <t>D22</t>
  </si>
  <si>
    <t>현재직함</t>
  </si>
  <si>
    <t>경력사항 표</t>
  </si>
  <si>
    <t>D23</t>
  </si>
  <si>
    <t>신용등급/신용점수</t>
  </si>
  <si>
    <t>숫자 또는 텍스트</t>
  </si>
  <si>
    <t>보증인 정보 등</t>
  </si>
  <si>
    <t>NICE 점수 등 나오는 경우 있음</t>
  </si>
  <si>
    <t>D4. 회사 연혁</t>
  </si>
  <si>
    <t>D30</t>
  </si>
  <si>
    <t>연혁리스트</t>
  </si>
  <si>
    <t>연도별 bullet 텍스트</t>
  </si>
  <si>
    <t>“연혁” 표/리스트</t>
  </si>
  <si>
    <t>E. 재무현황 (3.(4)(5)(6) 재무제표, 주요지표, 차입금)</t>
  </si>
  <si>
    <t>E1. 재무제표(연간 혹은 가결산 기준 포함)</t>
  </si>
  <si>
    <t>E01</t>
  </si>
  <si>
    <t>기준일</t>
  </si>
  <si>
    <t>날짜(YYYY.MM 또는 YYYY.MM.DD)</t>
  </si>
  <si>
    <t>표 머리열 (2021.12, 2022.12…)</t>
  </si>
  <si>
    <t>여러 기간 칼럼</t>
  </si>
  <si>
    <t>E02</t>
  </si>
  <si>
    <t>자산총계</t>
  </si>
  <si>
    <t>숫자(백만원)</t>
  </si>
  <si>
    <t>재무상태표/요약재무제표</t>
  </si>
  <si>
    <t>E03</t>
  </si>
  <si>
    <t>부채총계</t>
  </si>
  <si>
    <t>재무상태표</t>
  </si>
  <si>
    <t>E04</t>
  </si>
  <si>
    <t>자본총계</t>
  </si>
  <si>
    <t>자동(E02-E03) 또는 수기</t>
  </si>
  <si>
    <t>내부소스에 따라 다르게</t>
  </si>
  <si>
    <t>E05</t>
  </si>
  <si>
    <t>자본금</t>
  </si>
  <si>
    <t>납입자본금과 동일해야 함</t>
  </si>
  <si>
    <t>E06</t>
  </si>
  <si>
    <t>현금성자산</t>
  </si>
  <si>
    <t>E07</t>
  </si>
  <si>
    <t>대출채권(장부가)</t>
  </si>
  <si>
    <t>골든/오케이 둘 다 핵심</t>
  </si>
  <si>
    <t>E08</t>
  </si>
  <si>
    <t>대출금(=대출채권 Gross)</t>
  </si>
  <si>
    <t>일부 보고서 표현 “대출금”을 별도 라인</t>
  </si>
  <si>
    <t>E09</t>
  </si>
  <si>
    <t>대손충당금</t>
  </si>
  <si>
    <t>숫자(백만원, 음수)</t>
  </si>
  <si>
    <t>재무상태표 및 충당금 현황</t>
  </si>
  <si>
    <t>충당금률 계산에 사용</t>
  </si>
  <si>
    <t>E10</t>
  </si>
  <si>
    <t>차입부채(또는 금융부채)</t>
  </si>
  <si>
    <t>단기/장기 쪼개서 들어가는 경우 있음</t>
  </si>
  <si>
    <t>E11</t>
  </si>
  <si>
    <t>매출액/영업수익</t>
  </si>
  <si>
    <t>손익계산서</t>
  </si>
  <si>
    <t>E12</t>
  </si>
  <si>
    <t>이자비용</t>
  </si>
  <si>
    <t>이자원가율에 쓰임</t>
  </si>
  <si>
    <t>E13</t>
  </si>
  <si>
    <t>대손상각비</t>
  </si>
  <si>
    <t>대손비용율 계산에 사용</t>
  </si>
  <si>
    <t>E14</t>
  </si>
  <si>
    <t>모집비용/판관비</t>
  </si>
  <si>
    <t>모집비용율, 판관비율 계산에 사용</t>
  </si>
  <si>
    <t>E15</t>
  </si>
  <si>
    <t>영업이익</t>
  </si>
  <si>
    <t>자동(E11 - 매출원가계정) 가능</t>
  </si>
  <si>
    <t>E16</t>
  </si>
  <si>
    <t>당기순이익</t>
  </si>
  <si>
    <t>손익계산서 / 요약재무제표</t>
  </si>
  <si>
    <t>ROA/ROE에 들어감</t>
  </si>
  <si>
    <t>E17</t>
  </si>
  <si>
    <t>법인세차감전 순이익</t>
  </si>
  <si>
    <t>주요지표용</t>
  </si>
  <si>
    <t>일부 보고서에서 지표로 사용</t>
  </si>
  <si>
    <t>E2. 주요지표 (보고서에서 별도로 제시되는 KPI)</t>
  </si>
  <si>
    <t>E20</t>
  </si>
  <si>
    <t>총자산증가율</t>
  </si>
  <si>
    <t>(당기총자산-전기총자산)/전기총자산</t>
  </si>
  <si>
    <t>“총자산증가율 x%”</t>
  </si>
  <si>
    <t>전기 대비 기준. 전기 총자산 0 등 특이치 예외 처리</t>
  </si>
  <si>
    <t>E21</t>
  </si>
  <si>
    <t>대출채권 증가율</t>
  </si>
  <si>
    <t>(당기대출채권-전기대출채권)/전기대출채권</t>
  </si>
  <si>
    <t>“대출채권 증가율 x%”</t>
  </si>
  <si>
    <t>E22</t>
  </si>
  <si>
    <t>자기자본비율</t>
  </si>
  <si>
    <t>자기자본 / 총자산</t>
  </si>
  <si>
    <t>“자기자본비율 x%”</t>
  </si>
  <si>
    <t>자기자본=자본총계</t>
  </si>
  <si>
    <t>E23</t>
  </si>
  <si>
    <t>법인세차감전 순이익율</t>
  </si>
  <si>
    <t>법인세차감전순이익 / 총자산</t>
  </si>
  <si>
    <t>그대로 사용</t>
  </si>
  <si>
    <t>정의 고정 필요</t>
  </si>
  <si>
    <t>E24</t>
  </si>
  <si>
    <t>ROA</t>
  </si>
  <si>
    <t>당기순이익 / 총자산</t>
  </si>
  <si>
    <t>ROA(총자산수익률)</t>
  </si>
  <si>
    <t>E25</t>
  </si>
  <si>
    <t>ROE</t>
  </si>
  <si>
    <t>당기순이익 / 자기자본</t>
  </si>
  <si>
    <t>ROE(자기자본이익률)</t>
  </si>
  <si>
    <t>자기자본 평균 vs 기말? 지금 보고서는 기말 기준으로 보임</t>
  </si>
  <si>
    <t>E26</t>
  </si>
  <si>
    <t>영업수익대 영업이익률</t>
  </si>
  <si>
    <t>영업이익 / 영업수익</t>
  </si>
  <si>
    <t>영업수익대 영업이익율 x%</t>
  </si>
  <si>
    <t>명칭 그대로 사용</t>
  </si>
  <si>
    <t>E27</t>
  </si>
  <si>
    <t>영업수익대 순이익률</t>
  </si>
  <si>
    <t>당기순이익 / 영업수익</t>
  </si>
  <si>
    <t>영업수익대 순이익율 x%</t>
  </si>
  <si>
    <t>E28</t>
  </si>
  <si>
    <t>대출채권평잔</t>
  </si>
  <si>
    <t>(전기대출채권+당기대출채권)/2</t>
  </si>
  <si>
    <t>“대출채권평잔 xxxx”</t>
  </si>
  <si>
    <t>E29</t>
  </si>
  <si>
    <t>운용수익율(A)</t>
  </si>
  <si>
    <t>대출금이자수익 / 대출채권평잔</t>
  </si>
  <si>
    <t>“운용수익율(A)”</t>
  </si>
  <si>
    <t>A</t>
  </si>
  <si>
    <t>E30</t>
  </si>
  <si>
    <t>이자원가율(B)</t>
  </si>
  <si>
    <t>차입금이자비용 / 대출채권평잔</t>
  </si>
  <si>
    <t>“이자원가율(B)”</t>
  </si>
  <si>
    <t>B</t>
  </si>
  <si>
    <t>E31</t>
  </si>
  <si>
    <t>대손비용율(C)</t>
  </si>
  <si>
    <t>대손상각비 / 대출채권평잔</t>
  </si>
  <si>
    <t>“대손비용율(C)”</t>
  </si>
  <si>
    <t>C</t>
  </si>
  <si>
    <t>E32</t>
  </si>
  <si>
    <t>모집비용율(D)</t>
  </si>
  <si>
    <t>모집비용 / 대출채권평잔</t>
  </si>
  <si>
    <t>“모집비용율(D)”</t>
  </si>
  <si>
    <t>D</t>
  </si>
  <si>
    <t>E33</t>
  </si>
  <si>
    <t>판관비용율(E)</t>
  </si>
  <si>
    <t>기타관리비 / 대출채권평잔</t>
  </si>
  <si>
    <t>“기타관리비율(E)”</t>
  </si>
  <si>
    <t>E</t>
  </si>
  <si>
    <t>E34</t>
  </si>
  <si>
    <t>영업이익율</t>
  </si>
  <si>
    <t>A-B-C-D-E</t>
  </si>
  <si>
    <t>“영업이익율(A-B-C-D-E)”</t>
  </si>
  <si>
    <t>구조 고정식 -&gt; 엑셀에서 바로 산식 가능</t>
  </si>
  <si>
    <t>E3. 차입금 현황</t>
  </si>
  <si>
    <t>(별첨 및 본문 둘 다에 들어감. 은행/여전사/저축은행/사모사채 등 소스별로 요약표 + 상세표)</t>
  </si>
  <si>
    <t>E40</t>
  </si>
  <si>
    <t>차입처 구분</t>
  </si>
  <si>
    <t>드롭다운(1금융/저축은행/여전사/사모사채/종금사/일반투자자 등)</t>
  </si>
  <si>
    <t>별첨 표</t>
  </si>
  <si>
    <t>E41</t>
  </si>
  <si>
    <t>한도금액</t>
  </si>
  <si>
    <t>E42</t>
  </si>
  <si>
    <t>대출잔액</t>
  </si>
  <si>
    <t>별첨 표 및 요약표 합계</t>
  </si>
  <si>
    <t>E43</t>
  </si>
  <si>
    <t>금리</t>
  </si>
  <si>
    <t>E44</t>
  </si>
  <si>
    <t>차입일</t>
  </si>
  <si>
    <t>E45</t>
  </si>
  <si>
    <t>만기일</t>
  </si>
  <si>
    <t>E46</t>
  </si>
  <si>
    <t>드롭다운(원금균등/원리금균등/만기일시 등)</t>
  </si>
  <si>
    <t>E47</t>
  </si>
  <si>
    <t>담보제공 내역</t>
  </si>
  <si>
    <t>텍스트(신용채권/부동산/무담보 등)</t>
  </si>
  <si>
    <t>E48</t>
  </si>
  <si>
    <t>차입구조 요약</t>
  </si>
  <si>
    <t>합계/비율(%)</t>
  </si>
  <si>
    <t>자동 (피벗)</t>
  </si>
  <si>
    <t>“저축은행 43.2%” 등 요약표</t>
  </si>
  <si>
    <t>F. 영업현황 (4. 신청사 영업현황)</t>
  </si>
  <si>
    <t>F01</t>
  </si>
  <si>
    <t>주요상품명</t>
  </si>
  <si>
    <t>“신용대출 / 후순위 소액담보대출 / 지분대출 …”</t>
  </si>
  <si>
    <t>F02</t>
  </si>
  <si>
    <t>상품 대상</t>
  </si>
  <si>
    <t>“개시자, 회생자, 회복자 …” 등</t>
  </si>
  <si>
    <t>규제 민감도 有</t>
  </si>
  <si>
    <t>F03</t>
  </si>
  <si>
    <t>한도(백만원)</t>
  </si>
  <si>
    <t>상품 테이블</t>
  </si>
  <si>
    <t>F04</t>
  </si>
  <si>
    <t>금리(%)</t>
  </si>
  <si>
    <t>법정 최고금리 등과 비교될 여지</t>
  </si>
  <si>
    <t>F05</t>
  </si>
  <si>
    <t>대출기간(개월 또는 M)</t>
  </si>
  <si>
    <t>“24M~36M” 같이 범위형 가능</t>
  </si>
  <si>
    <t>F06</t>
  </si>
  <si>
    <t>드롭다운(원리금균등/만기일시/원금자유 등)</t>
  </si>
  <si>
    <t>F07</t>
  </si>
  <si>
    <t>월별 자산/부채/자본/당기손익(누적)</t>
  </si>
  <si>
    <t>표(월 시계열)</t>
  </si>
  <si>
    <t>수기(붙여넣기)</t>
  </si>
  <si>
    <t>월별 영업현황 표</t>
  </si>
  <si>
    <t>나중에 그래프화 가능</t>
  </si>
  <si>
    <t>F08</t>
  </si>
  <si>
    <t>월별 대출취급(신규/재대출/소계)</t>
  </si>
  <si>
    <t>월별 대출취급 및 상환 현황</t>
  </si>
  <si>
    <t>신규/재대출 구분 필수</t>
  </si>
  <si>
    <t>F09</t>
  </si>
  <si>
    <t>월별 회수액(원금/이자)</t>
  </si>
  <si>
    <t>동일 표</t>
  </si>
  <si>
    <t>상환능력 판단자료</t>
  </si>
  <si>
    <t>F10</t>
  </si>
  <si>
    <t>월별 대출잔액</t>
  </si>
  <si>
    <t>“월간 순증액” 계산에 사용</t>
  </si>
  <si>
    <t>F11</t>
  </si>
  <si>
    <t>월별 월간 순증액</t>
  </si>
  <si>
    <t>자동 (당월잔액-전월잔액)</t>
  </si>
  <si>
    <t>자동</t>
  </si>
  <si>
    <t>단위 백만원</t>
  </si>
  <si>
    <t>F12</t>
  </si>
  <si>
    <t>월별 대출건수 / 평균단가</t>
  </si>
  <si>
    <t>수기+자동(평균단가=금액÷건수)</t>
  </si>
  <si>
    <t>월별 현황</t>
  </si>
  <si>
    <t>소액 다건인지 중대형인지 파악용</t>
  </si>
  <si>
    <t>F13</t>
  </si>
  <si>
    <t>평균이자율</t>
  </si>
  <si>
    <t>자동 또는 수기</t>
  </si>
  <si>
    <t>F14</t>
  </si>
  <si>
    <t>대출규모 구간별 잔액 (300만 이하, 500만 이하 … 2,000만 초과 등)</t>
  </si>
  <si>
    <t>월별 현황 하단 구간별 잔액</t>
  </si>
  <si>
    <t>G. 관계사 현황 (오케이 ↔ 골든 식 구조)</t>
  </si>
  <si>
    <t>G01</t>
  </si>
  <si>
    <t>관계사 명칭</t>
  </si>
  <si>
    <t>“관계사 ㈜오케이파이낸셜대부” 등</t>
  </si>
  <si>
    <t>해당 보고서에서 ‘관계사’ 또는 ‘보증사’로 호출되는 대상</t>
  </si>
  <si>
    <t>G02</t>
  </si>
  <si>
    <t>관계사 대표자</t>
  </si>
  <si>
    <t>관계사 개요표</t>
  </si>
  <si>
    <t>G03</t>
  </si>
  <si>
    <t>관계사 자본금</t>
  </si>
  <si>
    <t>G04</t>
  </si>
  <si>
    <t>관계사 재무요약 (자산총계, 부채총계, 자본총계, 영업이익, 당기순이익 등)</t>
  </si>
  <si>
    <t>표(연도별)</t>
  </si>
  <si>
    <t>관계사 요약재무제표</t>
  </si>
  <si>
    <t>오케이↔골든 서로 cross reference 형태</t>
  </si>
  <si>
    <t>G05</t>
  </si>
  <si>
    <t>관계사와의 여신/보증관계</t>
  </si>
  <si>
    <t>“관계사 A 기여신 잔액 ○억원”</t>
  </si>
  <si>
    <t>내부 익스포저 체크용</t>
  </si>
  <si>
    <t>G06</t>
  </si>
  <si>
    <t>관계사 차입구조 요약</t>
  </si>
  <si>
    <t>표 / 피벗</t>
  </si>
  <si>
    <t>자동 가능</t>
  </si>
  <si>
    <t>관계사 차입금 요약표</t>
  </si>
  <si>
    <t>최종 판단에서 함께 본다는 점이 심사상 핵심이므로 빠지면 안 됨</t>
  </si>
  <si>
    <t>H. 최종의견 (심사/영업부서 코멘트)</t>
  </si>
  <si>
    <t>H01</t>
  </si>
  <si>
    <t>회사 요약 코멘트</t>
  </si>
  <si>
    <t>자유 텍스트</t>
  </si>
  <si>
    <t>“신청사는 20xx년 설립되어…” 문단 첫 줄</t>
  </si>
  <si>
    <t>회사 개요 요약</t>
  </si>
  <si>
    <t>H02</t>
  </si>
  <si>
    <t>재무 상태 판단</t>
  </si>
  <si>
    <t>자유 텍스트(템플릿 + 변수 가능)</t>
  </si>
  <si>
    <t>“’23년말 당기순이익 xx억원 시현하였으며…”</t>
  </si>
  <si>
    <t>E섹션 값 치환 가능</t>
  </si>
  <si>
    <t>H03</t>
  </si>
  <si>
    <t>리스크 인지 사항</t>
  </si>
  <si>
    <t>“연체율 다소 상승 / 충당금 적립비율 xx% 등”</t>
  </si>
  <si>
    <t>연체율, 총자산한도 규제준수 여부 반영</t>
  </si>
  <si>
    <t>H04</t>
  </si>
  <si>
    <t>자유 텍스트(템플릿+비율)</t>
  </si>
  <si>
    <t>“담보비율 130% 유지 가능으로 회수에 문제 없을 것으로 판단됨”</t>
  </si>
  <si>
    <t>C01, C03 자동 삽입 가능</t>
  </si>
  <si>
    <t>H05</t>
  </si>
  <si>
    <t>승인 제안 문구</t>
  </si>
  <si>
    <t>자유 텍스트(Yes/Conditional)</t>
  </si>
  <si>
    <t>마지막 문장</t>
  </si>
  <si>
    <t>내부 컴플라이언스 톤 유지 필요</t>
  </si>
  <si>
    <t>상호 반드시 등기 상호 기준. Mandatory Correction</t>
  </si>
  <si>
    <t>억환산 표기와 원 표기를 동시에 넣어야 하므로 두 값 모두 관리 권장. Mandatory Correction</t>
  </si>
  <si>
    <t>계산식: 총자산 / 자기자본. Mandatory Correction 용어 동일 유지</t>
  </si>
  <si>
    <t>A09와 동일 값 매핑. Mandatory Correction</t>
  </si>
  <si>
    <t>단위 표기 반드시 일관. Mandatory Correction</t>
  </si>
  <si>
    <t>단위는 “백만원”. Mandatory Correction</t>
  </si>
  <si>
    <t>보고서에서 “영업수익” vs “매출액” 용어 혼용. Mandatory Correction: 텍스트 표준화 필요</t>
  </si>
  <si>
    <t>총자산은 보통 기말자산 사용 중. 평균자산으로 바꾸면 정의 변경 → Mandatory Correction</t>
  </si>
  <si>
    <t>충당금 차감 전 대출채권(=‘대출금’으로 정의) 사용. Mandatory Correction</t>
  </si>
  <si>
    <t>정의: 누적이자수익/잔액 등 회사별 정의 주의. Mandatory Correction</t>
  </si>
  <si>
    <t>포트폴리오 구성 분석. 구간 라벨은 그대로 써야 함 (임의로 바꾸면 안 됨). Mandatory Correction</t>
  </si>
  <si>
    <t>&gt;&gt; 개별 보고서 해당여부</t>
    <phoneticPr fontId="1" type="noConversion"/>
  </si>
  <si>
    <t>(주)오케이파이낸셜대부 신청의견(신규)_24.07_최종</t>
  </si>
  <si>
    <t>신청의견_(주)골든캐피탈대부_24.07_최종</t>
  </si>
  <si>
    <t>신청의견_(주)안전대부_24.06</t>
  </si>
  <si>
    <t>o</t>
    <phoneticPr fontId="1" type="noConversion"/>
  </si>
  <si>
    <t>자동화 필요여부</t>
    <phoneticPr fontId="1" type="noConversion"/>
  </si>
  <si>
    <t>불필요</t>
  </si>
  <si>
    <t>불필요</t>
    <phoneticPr fontId="1" type="noConversion"/>
  </si>
  <si>
    <t>필요</t>
  </si>
  <si>
    <t>필요</t>
    <phoneticPr fontId="1" type="noConversion"/>
  </si>
  <si>
    <t>애매</t>
  </si>
  <si>
    <t>애매</t>
    <phoneticPr fontId="1" type="noConversion"/>
  </si>
  <si>
    <t>x</t>
    <phoneticPr fontId="1" type="noConversion"/>
  </si>
  <si>
    <t>차주</t>
    <phoneticPr fontId="1" type="noConversion"/>
  </si>
  <si>
    <t>금융기관</t>
    <phoneticPr fontId="1" type="noConversion"/>
  </si>
  <si>
    <t>Source</t>
    <phoneticPr fontId="1" type="noConversion"/>
  </si>
  <si>
    <t>금융기관</t>
    <phoneticPr fontId="1" type="noConversion"/>
  </si>
  <si>
    <t>자체</t>
    <phoneticPr fontId="1" type="noConversion"/>
  </si>
  <si>
    <t>재 무 상 태 표</t>
  </si>
  <si>
    <t>제 11 (당)기 2024년 12월 31일 현재</t>
  </si>
  <si>
    <t>제 10 (전)기 2023년 12월 31일 현재</t>
  </si>
  <si>
    <t>주식회사 오케이파이낸셜대부</t>
  </si>
  <si>
    <t>과목</t>
  </si>
  <si>
    <t>Ⅰ. 현금및예치금</t>
  </si>
  <si>
    <t>Ⅱ. 대출채권</t>
  </si>
  <si>
    <t>Ⅲ. 유형자산(주석3,6)</t>
  </si>
  <si>
    <t>Ⅳ. 무형자산(주석6)</t>
  </si>
  <si>
    <t>Ⅴ. 기타자산</t>
  </si>
  <si>
    <t>Ⅰ. 차입부채</t>
  </si>
  <si>
    <t>Ⅱ. 기타부채</t>
  </si>
  <si>
    <t>Ⅰ. 자본금(주석11)</t>
  </si>
  <si>
    <t>Ⅱ. 자본잉여금(주석11)</t>
  </si>
  <si>
    <t>Ⅲ. 기타포괄손익누계액(주석11)</t>
  </si>
  <si>
    <t>Ⅳ. 이익잉여금(주석11)</t>
  </si>
  <si>
    <t>부채및자본총계</t>
  </si>
  <si>
    <t>자             산</t>
  </si>
  <si>
    <t>자   산   총   계</t>
  </si>
  <si>
    <t>부   채   총   계</t>
  </si>
  <si>
    <t>자   본   총   계</t>
  </si>
  <si>
    <t>-&gt; 양식유지해서 워드로 I21</t>
    <phoneticPr fontId="1" type="noConversion"/>
  </si>
  <si>
    <t xml:space="preserve"> Raw data(자동으로엑셀에 입력) 셋팅된 엑셀 수식 적용시(특정셀 위치 반영) 결과값 도출 가능한지 </t>
    <phoneticPr fontId="1" type="noConversion"/>
  </si>
  <si>
    <t xml:space="preserve">결과 데이터를 보고서에 옮길 수 있는지 </t>
    <phoneticPr fontId="1" type="noConversion"/>
  </si>
  <si>
    <t>ㅇ</t>
    <phoneticPr fontId="1" type="noConversion"/>
  </si>
  <si>
    <t>총자산증가율</t>
    <phoneticPr fontId="1" type="noConversion"/>
  </si>
  <si>
    <t>cal</t>
    <phoneticPr fontId="1" type="noConversion"/>
  </si>
  <si>
    <t>차주한테 메일로 받은 raw데이터가 자동으로 붙어야함</t>
    <phoneticPr fontId="1" type="noConversion"/>
  </si>
  <si>
    <t>구분</t>
    <phoneticPr fontId="1" type="noConversion"/>
  </si>
  <si>
    <t>1금융</t>
    <phoneticPr fontId="1" type="noConversion"/>
  </si>
  <si>
    <t>엑셀</t>
    <phoneticPr fontId="1" type="noConversion"/>
  </si>
  <si>
    <t>잔액</t>
    <phoneticPr fontId="1" type="noConversion"/>
  </si>
  <si>
    <t>비율</t>
    <phoneticPr fontId="1" type="noConversion"/>
  </si>
  <si>
    <t xml:space="preserve">최종의견 </t>
    <phoneticPr fontId="1" type="noConversion"/>
  </si>
  <si>
    <t>4.3.1</t>
    <phoneticPr fontId="1" type="noConversion"/>
  </si>
  <si>
    <t xml:space="preserve">신청사 A09는 D06설립 &amp; D03,,, 시현한 </t>
    <phoneticPr fontId="1" type="noConversion"/>
  </si>
  <si>
    <t>취급수수료</t>
  </si>
  <si>
    <t>상환방법</t>
  </si>
  <si>
    <t>채권보전</t>
  </si>
  <si>
    <t>대출채권</t>
  </si>
  <si>
    <t>대출금</t>
  </si>
  <si>
    <t>기타자산</t>
  </si>
  <si>
    <t>기타부채</t>
  </si>
  <si>
    <t>모집비용</t>
  </si>
  <si>
    <t>기타판관비</t>
  </si>
  <si>
    <t>ROA(총자산수익율)</t>
  </si>
  <si>
    <t>ROE(자기자본이익율)</t>
  </si>
  <si>
    <t>영업이익율(A-B-C-D-E)</t>
  </si>
  <si>
    <t>(단위 : 백만원)</t>
  </si>
  <si>
    <t>항 목</t>
  </si>
  <si>
    <t>2021.12.</t>
  </si>
  <si>
    <t>2022.12.</t>
  </si>
  <si>
    <t>(대손충당금)</t>
  </si>
  <si>
    <t>차입부채</t>
  </si>
  <si>
    <t>주식발행초과금</t>
  </si>
  <si>
    <t>자본(이익)잉여금</t>
  </si>
  <si>
    <t>영업수익</t>
  </si>
  <si>
    <t>대출금이자수익</t>
  </si>
  <si>
    <t>기타수익</t>
  </si>
  <si>
    <t>영업비용</t>
  </si>
  <si>
    <t>대출채권처분손실</t>
  </si>
  <si>
    <t>일반관리비</t>
  </si>
  <si>
    <t>기타영업비용</t>
  </si>
  <si>
    <t>영업외손익</t>
  </si>
  <si>
    <t>※당기순손실 사유 : ‘24.01~03월까지 정상채권 약 852억원(신용채권 663억, 부동산담보채권 189억) 매각에 따른 대출자산의 감소로 인한 이자수익 감소 및 연체율 상승에 따른 대손비용 증가. ’24.03월부터 우량자산 확보를 위해 소액 부동산담보대출(후순위)을 취급하여 특수채권(개인회생, 신용회복)으로의 전이를 방 지하고, 일부 신용대출 취급으로 이자수익 증대 예정. ‘24.12월말 기준 대출자산 600억원을 목표로 영업을 확대하고 있음.</t>
  </si>
  <si>
    <t>주요 재무상태표</t>
  </si>
  <si>
    <t>구분</t>
  </si>
  <si>
    <t>구분</t>
    <phoneticPr fontId="1" type="noConversion"/>
  </si>
  <si>
    <t>검증</t>
    <phoneticPr fontId="1" type="noConversion"/>
  </si>
  <si>
    <t>CAL</t>
    <phoneticPr fontId="1" type="noConversion"/>
  </si>
  <si>
    <t>법인세</t>
    <phoneticPr fontId="1" type="noConversion"/>
  </si>
  <si>
    <t>&lt; 미제공</t>
    <phoneticPr fontId="1" type="noConversion"/>
  </si>
  <si>
    <t>(당기-전기총자산) / 전기 총자산</t>
  </si>
  <si>
    <t>(당기-전기대출자산) / 전기 대출자산</t>
  </si>
  <si>
    <t>자기자본 비율</t>
  </si>
  <si>
    <t>영업수익대 영업이익율</t>
  </si>
  <si>
    <t>영업수익대 순이익율</t>
  </si>
  <si>
    <t>(전기+당기 대출채권) / 2</t>
  </si>
  <si>
    <t>&lt; 대출채권평잔이 아니라 대출금평잔으로 되어있음</t>
    <phoneticPr fontId="1" type="noConversion"/>
  </si>
  <si>
    <t>&lt;계산이 안됨 오류같아</t>
    <phoneticPr fontId="1" type="noConversion"/>
  </si>
  <si>
    <t>기타관리비 / 대출채권평잔</t>
    <phoneticPr fontId="1" type="noConversion"/>
  </si>
  <si>
    <t>&lt;기타관리비 / 대출채권평잔로 계산됨. 아래거랑 반대임</t>
    <phoneticPr fontId="1" type="noConversion"/>
  </si>
  <si>
    <t>모집비용 / 대출채권평잔</t>
    <phoneticPr fontId="1" type="noConversion"/>
  </si>
  <si>
    <t>&lt;모집비용 / 대출채권평잔 위에거랑 반대임</t>
    <phoneticPr fontId="1" type="noConversion"/>
  </si>
  <si>
    <t>▶대출채권평잔은 충당금 반영 전 대출채권 금액(재무제표상 대출금)으로 작성</t>
  </si>
  <si>
    <t>비율(%)</t>
  </si>
  <si>
    <t>시 중 은 행</t>
  </si>
  <si>
    <t>저 축 은 행</t>
  </si>
  <si>
    <t>사 모 사 채</t>
  </si>
  <si>
    <t>여전사</t>
  </si>
  <si>
    <t>구 분</t>
  </si>
  <si>
    <t>잔 액</t>
  </si>
  <si>
    <t>여 전 사</t>
  </si>
  <si>
    <t>대 부 사</t>
  </si>
  <si>
    <t>합 계</t>
  </si>
  <si>
    <t>대 상</t>
  </si>
  <si>
    <t>한 도</t>
  </si>
  <si>
    <t>금 리</t>
  </si>
  <si>
    <t>대출기간</t>
  </si>
  <si>
    <t>신용대출</t>
  </si>
  <si>
    <t>개시자, 회생자, 회복자, 파산자</t>
  </si>
  <si>
    <t>15백만원</t>
  </si>
  <si>
    <t>36M-60M</t>
  </si>
  <si>
    <t>원리금균등/만기일시</t>
  </si>
  <si>
    <t>후순위 소액담보대출</t>
  </si>
  <si>
    <t>본인명의 주택소유자</t>
  </si>
  <si>
    <t>30백만원</t>
  </si>
  <si>
    <t>24M~36M</t>
  </si>
  <si>
    <t>원금자유</t>
  </si>
  <si>
    <t>지분대출</t>
  </si>
  <si>
    <t>본인 또는 배우자명의 주택소유자</t>
  </si>
  <si>
    <t>100백만원</t>
  </si>
  <si>
    <t>15.9~19.0%</t>
  </si>
  <si>
    <t>만기일시</t>
  </si>
  <si>
    <t>(2024.06.30.기준 / 단위 : 백만원)</t>
  </si>
  <si>
    <t>비중</t>
  </si>
  <si>
    <t>담보대출</t>
  </si>
  <si>
    <t>▶담보제공 가능 신용대출채권 66억원(신용대출 정상채권기준)</t>
  </si>
  <si>
    <t>▶24.03월 정상채권 약 852억원(신용채권 663억, 부동산담보채권 189억) 매각 이후 후순위 소액 부동산 담보대출을 주력하고 있음</t>
  </si>
  <si>
    <r>
      <t>1)</t>
    </r>
    <r>
      <rPr>
        <b/>
        <sz val="7"/>
        <color theme="1"/>
        <rFont val="Times New Roman"/>
        <family val="1"/>
      </rPr>
      <t xml:space="preserve">  </t>
    </r>
    <r>
      <rPr>
        <b/>
        <sz val="9"/>
        <color theme="1"/>
        <rFont val="맑은 고딕"/>
        <family val="3"/>
        <charset val="129"/>
        <scheme val="minor"/>
      </rPr>
      <t>월별 영업현황</t>
    </r>
  </si>
  <si>
    <t>납입자본금</t>
  </si>
  <si>
    <t>당기손익(누적)</t>
  </si>
  <si>
    <r>
      <t>대출건수(</t>
    </r>
    <r>
      <rPr>
        <sz val="9"/>
        <color theme="1"/>
        <rFont val="SimSun"/>
        <charset val="134"/>
      </rPr>
      <t>月</t>
    </r>
    <r>
      <rPr>
        <sz val="9"/>
        <color theme="1"/>
        <rFont val="맑은 고딕"/>
        <family val="3"/>
        <charset val="129"/>
      </rPr>
      <t>)</t>
    </r>
  </si>
  <si>
    <r>
      <t>대출금액(</t>
    </r>
    <r>
      <rPr>
        <sz val="9"/>
        <color theme="1"/>
        <rFont val="SimSun"/>
        <charset val="134"/>
      </rPr>
      <t>月</t>
    </r>
    <r>
      <rPr>
        <sz val="9"/>
        <color theme="1"/>
        <rFont val="맑은 고딕"/>
        <family val="3"/>
        <charset val="129"/>
      </rPr>
      <t>)</t>
    </r>
  </si>
  <si>
    <t>총 대출건수</t>
  </si>
  <si>
    <t>차입금</t>
  </si>
  <si>
    <t>대출 취급</t>
  </si>
  <si>
    <t>신 규</t>
  </si>
  <si>
    <t>재대출</t>
  </si>
  <si>
    <t>소 계</t>
  </si>
  <si>
    <t>원금 회수액</t>
  </si>
  <si>
    <t>이자 회수액</t>
  </si>
  <si>
    <t>월간 순증액</t>
  </si>
  <si>
    <t>월대출 건 수</t>
  </si>
  <si>
    <t>평균단가</t>
  </si>
  <si>
    <t>평균이자율(누적)</t>
  </si>
  <si>
    <t>300만원 이하</t>
  </si>
  <si>
    <t>500만원 이하</t>
  </si>
  <si>
    <t>700만원 이하</t>
  </si>
  <si>
    <t>1,000만원 이하</t>
  </si>
  <si>
    <t>2,000만원 이하</t>
  </si>
  <si>
    <t>2,000만원 초과</t>
  </si>
  <si>
    <r>
      <t>1)</t>
    </r>
    <r>
      <rPr>
        <b/>
        <sz val="7"/>
        <color theme="1"/>
        <rFont val="Times New Roman"/>
        <family val="1"/>
      </rPr>
      <t xml:space="preserve">  </t>
    </r>
    <r>
      <rPr>
        <b/>
        <sz val="9"/>
        <color theme="1"/>
        <rFont val="맑은 고딕"/>
        <family val="3"/>
        <charset val="129"/>
        <scheme val="minor"/>
      </rPr>
      <t>월별 대출취급 및 원리금상환 현황</t>
    </r>
  </si>
  <si>
    <r>
      <t>(</t>
    </r>
    <r>
      <rPr>
        <sz val="8"/>
        <color theme="1"/>
        <rFont val="맑은 고딕"/>
        <family val="3"/>
        <charset val="129"/>
        <scheme val="minor"/>
      </rPr>
      <t>단위 : 백만원)</t>
    </r>
  </si>
  <si>
    <t>cal</t>
    <phoneticPr fontId="1" type="noConversion"/>
  </si>
  <si>
    <t>총자산한도 현황</t>
  </si>
  <si>
    <t>총자산한도</t>
  </si>
  <si>
    <t>(단위 : 백만원)</t>
    <phoneticPr fontId="1" type="noConversion"/>
  </si>
  <si>
    <t>연체율 현황</t>
  </si>
  <si>
    <t>연 체 금 액</t>
  </si>
  <si>
    <t>1일이상</t>
  </si>
  <si>
    <t>11일이상</t>
  </si>
  <si>
    <t>31일이상</t>
  </si>
  <si>
    <t>연 체 율</t>
  </si>
  <si>
    <t>상 각</t>
  </si>
  <si>
    <t>매 각</t>
  </si>
  <si>
    <t>연체율 현황(‘24년 취급분)</t>
  </si>
  <si>
    <t>신용</t>
  </si>
  <si>
    <t>담보</t>
  </si>
  <si>
    <t>총 대출금</t>
  </si>
  <si>
    <t>대출취급</t>
  </si>
  <si>
    <t>대출건수</t>
  </si>
  <si>
    <t>연체금액</t>
  </si>
  <si>
    <t>1일~10일</t>
  </si>
  <si>
    <t>11일~30일</t>
  </si>
  <si>
    <t>31일 이상</t>
  </si>
  <si>
    <t>소계</t>
  </si>
  <si>
    <t>연체율</t>
  </si>
  <si>
    <t>대손충당금 현황</t>
  </si>
  <si>
    <t>충당금</t>
  </si>
  <si>
    <t>설정율(%)</t>
  </si>
  <si>
    <t>기초금액</t>
  </si>
  <si>
    <t>신규설정</t>
  </si>
  <si>
    <t>감소액</t>
  </si>
  <si>
    <t>기말잔액</t>
  </si>
  <si>
    <t>대손충당금 적립비율</t>
  </si>
  <si>
    <t>(단위 : %)</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</si>
  <si>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</si>
  <si>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</si>
  <si>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</si>
  <si>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</si>
  <si>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</si>
  <si>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</si>
  <si>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</si>
  <si>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</si>
  <si>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</si>
  <si>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</si>
  <si>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</si>
  <si>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</si>
  <si>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</si>
  <si>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자산건전성 현황</t>
  </si>
  <si>
    <t>A. 대출금</t>
  </si>
  <si>
    <t>B. 총 연체대출금</t>
  </si>
  <si>
    <t>C. 대손충당금</t>
  </si>
  <si>
    <t>D. 총 연체비율</t>
  </si>
  <si>
    <t>30,53%</t>
  </si>
  <si>
    <t>E. 전체대출금/ 충당금 적립율</t>
    <phoneticPr fontId="1" type="noConversion"/>
  </si>
  <si>
    <t>F. 연체 31일 이상 충당금 적립율</t>
    <phoneticPr fontId="1" type="noConversion"/>
  </si>
  <si>
    <t>업 체 명</t>
  </si>
  <si>
    <t>㈜골든캐피탈대부</t>
  </si>
  <si>
    <t>대 표 자</t>
  </si>
  <si>
    <t>박은섭, 권덕주(각자대표)</t>
  </si>
  <si>
    <t>사 업 내 용</t>
  </si>
  <si>
    <t>대 부 업</t>
  </si>
  <si>
    <t>기 업 형 태</t>
  </si>
  <si>
    <t>외 감</t>
  </si>
  <si>
    <t>본 사 소 재 지</t>
  </si>
  <si>
    <t>설 립 일 자</t>
  </si>
  <si>
    <t>자 본 금</t>
  </si>
  <si>
    <t>1,000백만원</t>
  </si>
  <si>
    <t>대 부 업 등 록</t>
  </si>
  <si>
    <t>2016-금감원-0024(대부업)</t>
  </si>
  <si>
    <t>인 원 수</t>
  </si>
  <si>
    <t>47명</t>
  </si>
  <si>
    <t>사업자등록번호</t>
  </si>
  <si>
    <t>264-81-07004</t>
  </si>
  <si>
    <t>서울특별시 영등포구 국회대로74실 4, 6층(여의도동, KC TOWER)</t>
    <phoneticPr fontId="1" type="noConversion"/>
  </si>
  <si>
    <t>주 주 명</t>
  </si>
  <si>
    <t>주 식 수</t>
  </si>
  <si>
    <t>금 액</t>
  </si>
  <si>
    <t>지 분 율</t>
  </si>
  <si>
    <t>비 고</t>
  </si>
  <si>
    <t>김봉철</t>
  </si>
  <si>
    <t>최대주주</t>
  </si>
  <si>
    <t>김도현</t>
  </si>
  <si>
    <t>김현영</t>
  </si>
  <si>
    <t>박은섭</t>
  </si>
  <si>
    <t>대표이사(각자대표)</t>
  </si>
  <si>
    <t>권덕주</t>
  </si>
  <si>
    <t>허정우</t>
  </si>
  <si>
    <t>cal</t>
    <phoneticPr fontId="1" type="noConversion"/>
  </si>
  <si>
    <t>대출채권처분이익</t>
  </si>
  <si>
    <t>지분법이익</t>
  </si>
  <si>
    <t>대손비용</t>
  </si>
  <si>
    <t>감가상각비</t>
  </si>
  <si>
    <t>무형자산상각비</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</si>
  <si>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</si>
  <si>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t>기타 판관비용율(E)</t>
  </si>
  <si>
    <t>대출채권의미임</t>
    <phoneticPr fontId="1" type="noConversion"/>
  </si>
  <si>
    <t>좀 다름</t>
    <phoneticPr fontId="1" type="noConversion"/>
  </si>
  <si>
    <t>결과적으로</t>
    <phoneticPr fontId="1" type="noConversion"/>
  </si>
  <si>
    <t>대상</t>
  </si>
  <si>
    <t>일반대출</t>
  </si>
  <si>
    <t>직장인, 사업자, 기타</t>
  </si>
  <si>
    <t>3,000만원</t>
  </si>
  <si>
    <t>60개월 이내</t>
  </si>
  <si>
    <t>원리금균등/자유</t>
  </si>
  <si>
    <t>연금리 20% 이내</t>
  </si>
  <si>
    <t>103,42</t>
  </si>
  <si>
    <t>총 대출잔액</t>
  </si>
  <si>
    <t>대출건수(月)</t>
  </si>
  <si>
    <t>대출금액(月)</t>
  </si>
  <si>
    <t>-  신청사 ㈜오케이파이낸셜대부는 당행과 14회, 누적취급액 220억원 정상거래했던 기 거래업체로서, 2023년 12월 말 당기순이익 1.4억원을 시현하였음.</t>
  </si>
  <si>
    <t>-  신청사의 기 거래현황 및 관계사 ㈜골든캐피탈대부와 최대주주 김봉철 연대보증 입보사항 고려 시 본건 채권 회수에 문제없을 것으로 판단되어 10억원 신규 신청 함.</t>
  </si>
  <si>
    <t>은행명</t>
  </si>
  <si>
    <t>담보제공</t>
  </si>
  <si>
    <t>㈜우리은행</t>
  </si>
  <si>
    <t>원금균등</t>
  </si>
  <si>
    <t>신탁등기(시설자금)</t>
  </si>
  <si>
    <t>㈜국민은행</t>
  </si>
  <si>
    <t>MOR 3M 변동+3.54%</t>
  </si>
  <si>
    <t>무담보</t>
  </si>
  <si>
    <t>㈜신한은행</t>
  </si>
  <si>
    <t>금융권 소계</t>
  </si>
  <si>
    <t>㈜유진대부금융</t>
  </si>
  <si>
    <t>부동산</t>
  </si>
  <si>
    <t>㈜조이크레디트대부금융</t>
  </si>
  <si>
    <t>원리금균등</t>
  </si>
  <si>
    <t>일반대출 소계</t>
  </si>
  <si>
    <t>㈜영진저축은행</t>
  </si>
  <si>
    <t>웰컴저축은행(주)</t>
  </si>
  <si>
    <t>신용채권</t>
  </si>
  <si>
    <t>저축은행 소계</t>
  </si>
  <si>
    <t>제이비우리캐피탈㈜</t>
  </si>
  <si>
    <t>여전사 소계</t>
  </si>
  <si>
    <t>무보증사모사채</t>
  </si>
  <si>
    <t>7.0~10.0%</t>
  </si>
  <si>
    <t>(총 46건) 소계</t>
  </si>
  <si>
    <t>합계</t>
  </si>
  <si>
    <t>금 융 권</t>
  </si>
  <si>
    <t>(2024.06.30.기준, 단위 : 백만원)</t>
  </si>
  <si>
    <t>국민은행</t>
  </si>
  <si>
    <t>은행</t>
  </si>
  <si>
    <t>농협은행</t>
  </si>
  <si>
    <t>대구은행</t>
  </si>
  <si>
    <t>우리은행</t>
  </si>
  <si>
    <t>1금융 소계</t>
  </si>
  <si>
    <t>롯데카드</t>
  </si>
  <si>
    <t>BC카드</t>
  </si>
  <si>
    <t>우리카드</t>
  </si>
  <si>
    <t>BNK캐피탈</t>
  </si>
  <si>
    <t>신한캐피탈</t>
  </si>
  <si>
    <t>에코캐피탈</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</si>
  <si>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</si>
  <si>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</si>
  <si>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</si>
  <si>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</si>
  <si>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</si>
  <si>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</si>
  <si>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</si>
  <si>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</si>
  <si>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</si>
  <si>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</si>
  <si>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</si>
  <si>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</si>
  <si>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</si>
  <si>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</si>
  <si>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</si>
  <si>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</si>
  <si>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</si>
  <si>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</si>
  <si>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</si>
  <si>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</si>
  <si>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</si>
  <si>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</si>
  <si>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</si>
  <si>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</si>
  <si>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</si>
  <si>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</si>
  <si>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</si>
  <si>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우리종합금융</t>
  </si>
  <si>
    <t>종금사</t>
  </si>
  <si>
    <t>종금사 소계</t>
  </si>
  <si>
    <t>일반투자자(13건)</t>
  </si>
  <si>
    <t>일반</t>
  </si>
  <si>
    <t>원금자유/만기일시</t>
  </si>
  <si>
    <t>/원리금균등</t>
  </si>
  <si>
    <t>일반 소계</t>
  </si>
  <si>
    <t>무보증사모사채(83건) 사모사채</t>
  </si>
  <si>
    <t>6.0~9.0%</t>
  </si>
  <si>
    <t>무보증사모사채 소계</t>
  </si>
  <si>
    <t>일 반 대 출</t>
  </si>
  <si>
    <t>종 금 사</t>
  </si>
  <si>
    <t>신청사 ㈜오케이파이낸셜대부는 2014년 12월 설립되어 신용대출을 주 상품으로 대부업을 영위하고 있는 업체로서 2023년 12월 결산 기준 자산총계 1,439억원, 자본총계 232억원, 총자산한도 6.20배로 대부업 규정 준수중이며, 매출액 247억원, 당기순이익 1.4억원을 시현하였음. 2016년 8월부터 2024년 6월까지 당행과 14회, 누적취급액 220억원을 정상 거래했던 기 거래업체로 금번 신용대출채권 담보로 대부업 대출 10억원 신청함</t>
  </si>
  <si>
    <t>㈜오케이파이낸셜대부</t>
  </si>
  <si>
    <t>법인(사업자)등록번호</t>
  </si>
  <si>
    <t>264-81-47097</t>
  </si>
  <si>
    <t>금일십억원(\1,000,000,000)</t>
  </si>
  <si>
    <t>일반자금대출</t>
  </si>
  <si>
    <t>20개월</t>
  </si>
  <si>
    <t>2024.07.00</t>
  </si>
  <si>
    <t>취급예정일 기준</t>
  </si>
  <si>
    <t>대부업대출 잔액</t>
  </si>
  <si>
    <t>390억</t>
  </si>
  <si>
    <t>중도상환수수료</t>
  </si>
  <si>
    <t>운영자금</t>
  </si>
  <si>
    <t>총자산한도(자산/자본)</t>
  </si>
  <si>
    <t>6.20배 (23.12.기준)</t>
  </si>
  <si>
    <t>원리금균등분할상환(월 53.4백만원)</t>
  </si>
  <si>
    <r>
      <t>-</t>
    </r>
    <r>
      <rPr>
        <sz val="7"/>
        <color theme="1"/>
        <rFont val="Times New Roman"/>
        <family val="1"/>
      </rPr>
      <t xml:space="preserve">  </t>
    </r>
    <r>
      <rPr>
        <sz val="9"/>
        <color theme="1"/>
        <rFont val="맑은 고딕"/>
        <family val="3"/>
        <charset val="129"/>
      </rPr>
      <t>물적담보 : 당행 대출금액의 130%에 해당하는 신청사 대출채권 양도 담보</t>
    </r>
  </si>
  <si>
    <r>
      <t>-</t>
    </r>
    <r>
      <rPr>
        <sz val="7"/>
        <color theme="1"/>
        <rFont val="Times New Roman"/>
        <family val="1"/>
      </rPr>
      <t xml:space="preserve">  </t>
    </r>
    <r>
      <rPr>
        <sz val="9"/>
        <color theme="1"/>
        <rFont val="맑은 고딕"/>
        <family val="3"/>
        <charset val="129"/>
      </rPr>
      <t>인적담보 : 최대주주 김봉철, 관계사 ㈜골든캐피탈대부 연대보증 입보</t>
    </r>
  </si>
  <si>
    <t>기 타</t>
  </si>
  <si>
    <r>
      <t>-</t>
    </r>
    <r>
      <rPr>
        <sz val="7"/>
        <color theme="1"/>
        <rFont val="Times New Roman"/>
        <family val="1"/>
      </rPr>
      <t xml:space="preserve">  </t>
    </r>
    <r>
      <rPr>
        <sz val="9"/>
        <color theme="1"/>
        <rFont val="맑은 고딕"/>
        <family val="3"/>
        <charset val="129"/>
      </rPr>
      <t>매월 채권내역(연체채권 내역 등)에 대한 확인서 제출 또는 담보실사(담당자 방문) 진행</t>
    </r>
  </si>
  <si>
    <r>
      <t>-</t>
    </r>
    <r>
      <rPr>
        <sz val="7"/>
        <color theme="1"/>
        <rFont val="Times New Roman"/>
        <family val="1"/>
      </rPr>
      <t xml:space="preserve">  </t>
    </r>
    <r>
      <rPr>
        <sz val="9"/>
        <color theme="1"/>
        <rFont val="맑은 고딕"/>
        <family val="3"/>
        <charset val="129"/>
      </rPr>
      <t>양수채권의 연체, 상환 등으로 인해 담보비율 130% 미달 시 익월 중 채권교체 실시 (본부장 전결)</t>
    </r>
  </si>
  <si>
    <r>
      <t>-</t>
    </r>
    <r>
      <rPr>
        <sz val="7"/>
        <color theme="1"/>
        <rFont val="Times New Roman"/>
        <family val="1"/>
      </rPr>
      <t xml:space="preserve">  </t>
    </r>
    <r>
      <rPr>
        <sz val="9"/>
        <color theme="1"/>
        <rFont val="맑은 고딕"/>
        <family val="3"/>
        <charset val="129"/>
      </rPr>
      <t>양도담보채권 샘플링하여 최초 실행내역 및 원리금 불입내역(최근 3개월) 확인</t>
    </r>
  </si>
  <si>
    <r>
      <t>-</t>
    </r>
    <r>
      <rPr>
        <sz val="7"/>
        <color theme="1"/>
        <rFont val="Times New Roman"/>
        <family val="1"/>
      </rPr>
      <t xml:space="preserve">  </t>
    </r>
    <r>
      <rPr>
        <sz val="9"/>
        <color theme="1"/>
        <rFont val="맑은 고딕"/>
        <family val="3"/>
        <charset val="129"/>
      </rPr>
      <t>중도상환수수료: 취급 후 15개월 내 스케쥴 외 상환 시 1%</t>
    </r>
  </si>
  <si>
    <t>신청사 변동현황</t>
  </si>
  <si>
    <t>기대출 건</t>
  </si>
  <si>
    <t>(2024.04. 가결산 기준)</t>
  </si>
  <si>
    <t>본 건</t>
  </si>
  <si>
    <t>(2024.05. 가결산 기준)</t>
  </si>
  <si>
    <t>1,142백만원</t>
  </si>
  <si>
    <t>총 연체율</t>
  </si>
  <si>
    <t>*29.70%</t>
  </si>
  <si>
    <t>*29.53%</t>
  </si>
  <si>
    <t>매달 상각 및 연 2회 매각</t>
  </si>
  <si>
    <t>45,625백만원</t>
  </si>
  <si>
    <t>43,809백만원</t>
  </si>
  <si>
    <t>담보제공가능채권 약 66억원</t>
  </si>
  <si>
    <t>주주현황</t>
  </si>
  <si>
    <t>김봉철 외 2인</t>
  </si>
  <si>
    <t>좌동</t>
  </si>
  <si>
    <t>대부업체 정보</t>
  </si>
  <si>
    <t>2016-금감원-0037(대부업)</t>
  </si>
  <si>
    <t>동일차주 기여신</t>
  </si>
  <si>
    <t>관계사 ㈜골든캐피탈대부 기여신 24.05월말 기준 잔액</t>
  </si>
  <si>
    <t>3,000백만원</t>
  </si>
  <si>
    <t>관계사 ㈜골든캐피탈대부 기여신 24.06월말 기준 잔액 2,859백만원</t>
  </si>
  <si>
    <t>*총연체율: 24.01~03월 정상채권 약 852억원(신용채권 663억, 부동산담보채권 189억) 매각으로 인하여 연체율 높음. (매각사유: 매입추심업 사업계획)</t>
  </si>
  <si>
    <r>
      <t>-</t>
    </r>
    <r>
      <rPr>
        <sz val="7"/>
        <color theme="1"/>
        <rFont val="Times New Roman"/>
        <family val="1"/>
      </rPr>
      <t xml:space="preserve">  </t>
    </r>
    <r>
      <rPr>
        <sz val="9"/>
        <color theme="1"/>
        <rFont val="맑은 고딕"/>
        <family val="3"/>
        <charset val="129"/>
        <scheme val="minor"/>
      </rPr>
      <t>당행 대출금액의 130% 해당하는 신청사 대출채권 양도 담보</t>
    </r>
  </si>
  <si>
    <r>
      <t>-</t>
    </r>
    <r>
      <rPr>
        <sz val="7"/>
        <color theme="1"/>
        <rFont val="Times New Roman"/>
        <family val="1"/>
      </rPr>
      <t xml:space="preserve">  </t>
    </r>
    <r>
      <rPr>
        <sz val="9"/>
        <color theme="1"/>
        <rFont val="맑은 고딕"/>
        <family val="3"/>
        <charset val="129"/>
        <scheme val="minor"/>
      </rPr>
      <t>담보 제공된 대출채권이 연체 또는 상환 발생시, 매월 정상채권 교환 및 보완으로 담보비율 130% 이상 유지</t>
    </r>
  </si>
  <si>
    <r>
      <t>-</t>
    </r>
    <r>
      <rPr>
        <sz val="7"/>
        <color theme="1"/>
        <rFont val="Times New Roman"/>
        <family val="1"/>
      </rPr>
      <t xml:space="preserve">  </t>
    </r>
    <r>
      <rPr>
        <sz val="9"/>
        <color theme="1"/>
        <rFont val="맑은 고딕"/>
        <family val="3"/>
        <charset val="129"/>
        <scheme val="minor"/>
      </rPr>
      <t>매월 채권내역(연체채권 내역 등)에 대한 확인서 또는 전산 제공</t>
    </r>
  </si>
  <si>
    <t>→ 대부업체 전산에 당행 담당자 아이피 등록 후 양도담보비율, 거래내역 등 상시 확인 가능</t>
  </si>
  <si>
    <r>
      <t>-</t>
    </r>
    <r>
      <rPr>
        <sz val="7"/>
        <color theme="1"/>
        <rFont val="Times New Roman"/>
        <family val="1"/>
      </rPr>
      <t xml:space="preserve">  </t>
    </r>
    <r>
      <rPr>
        <sz val="9"/>
        <color theme="1"/>
        <rFont val="맑은 고딕"/>
        <family val="3"/>
        <charset val="129"/>
        <scheme val="minor"/>
      </rPr>
      <t>최대주주 김봉철 : 한정근보증(대출금의 130%)</t>
    </r>
  </si>
  <si>
    <r>
      <t>-</t>
    </r>
    <r>
      <rPr>
        <sz val="7"/>
        <color theme="1"/>
        <rFont val="Times New Roman"/>
        <family val="1"/>
      </rPr>
      <t xml:space="preserve">  </t>
    </r>
    <r>
      <rPr>
        <sz val="9"/>
        <color theme="1"/>
        <rFont val="맑은 고딕"/>
        <family val="3"/>
        <charset val="129"/>
        <scheme val="minor"/>
      </rPr>
      <t>관계사 ㈜골든캐피탈대부 연대보증 입보 (대출금의 130%)</t>
    </r>
  </si>
  <si>
    <r>
      <t>1)</t>
    </r>
    <r>
      <rPr>
        <b/>
        <sz val="7"/>
        <color theme="1"/>
        <rFont val="Times New Roman"/>
        <family val="1"/>
      </rPr>
      <t> </t>
    </r>
    <r>
      <rPr>
        <b/>
        <sz val="9"/>
        <color theme="1"/>
        <rFont val="맑은 고딕"/>
        <family val="3"/>
        <charset val="129"/>
        <scheme val="minor"/>
      </rPr>
      <t>물적담보</t>
    </r>
    <phoneticPr fontId="1" type="noConversion"/>
  </si>
  <si>
    <t>2)인적담보(연대보증인)</t>
    <phoneticPr fontId="1" type="noConversion"/>
  </si>
  <si>
    <t>최대주주 김봉철 경력사항</t>
  </si>
  <si>
    <t>경 력 사 항</t>
  </si>
  <si>
    <r>
      <t xml:space="preserve">- </t>
    </r>
    <r>
      <rPr>
        <sz val="9"/>
        <color theme="1"/>
        <rFont val="SimSun"/>
        <charset val="134"/>
      </rPr>
      <t xml:space="preserve">前 </t>
    </r>
    <r>
      <rPr>
        <sz val="9"/>
        <color theme="1"/>
        <rFont val="맑은 고딕"/>
        <family val="3"/>
        <charset val="129"/>
      </rPr>
      <t>웰컴크레디트라인대부(주) 구로, 부평지점장</t>
    </r>
  </si>
  <si>
    <t>김 봉 철</t>
  </si>
  <si>
    <r>
      <t>-</t>
    </r>
    <r>
      <rPr>
        <sz val="7"/>
        <color theme="1"/>
        <rFont val="Times New Roman"/>
        <family val="1"/>
      </rPr>
      <t xml:space="preserve">  </t>
    </r>
    <r>
      <rPr>
        <sz val="9"/>
        <color theme="1"/>
        <rFont val="SimSun"/>
        <charset val="134"/>
      </rPr>
      <t xml:space="preserve">前 </t>
    </r>
    <r>
      <rPr>
        <sz val="9"/>
        <color theme="1"/>
        <rFont val="맑은 고딕"/>
        <family val="3"/>
        <charset val="129"/>
      </rPr>
      <t>㈜굿모닝캐피탈대부 이사</t>
    </r>
  </si>
  <si>
    <r>
      <t>-</t>
    </r>
    <r>
      <rPr>
        <sz val="7"/>
        <color theme="1"/>
        <rFont val="Times New Roman"/>
        <family val="1"/>
      </rPr>
      <t xml:space="preserve">  </t>
    </r>
    <r>
      <rPr>
        <sz val="9"/>
        <color theme="1"/>
        <rFont val="SimSun"/>
        <charset val="134"/>
      </rPr>
      <t xml:space="preserve">現 </t>
    </r>
    <r>
      <rPr>
        <sz val="9"/>
        <color theme="1"/>
        <rFont val="맑은 고딕"/>
        <family val="3"/>
        <charset val="129"/>
      </rPr>
      <t>㈜오케이파이낸셜대부 이사</t>
    </r>
  </si>
  <si>
    <t>(761229-1)</t>
  </si>
  <si>
    <r>
      <t xml:space="preserve">- </t>
    </r>
    <r>
      <rPr>
        <sz val="9"/>
        <color theme="1"/>
        <rFont val="SimSun"/>
        <charset val="134"/>
      </rPr>
      <t xml:space="preserve">現 </t>
    </r>
    <r>
      <rPr>
        <sz val="9"/>
        <color theme="1"/>
        <rFont val="맑은 고딕"/>
        <family val="3"/>
        <charset val="129"/>
      </rPr>
      <t>㈜골든캐피탈대부 이사</t>
    </r>
  </si>
  <si>
    <t>- NICE 917점</t>
  </si>
  <si>
    <t>차수</t>
  </si>
  <si>
    <t>대출일</t>
  </si>
  <si>
    <t>약정 담보비율</t>
  </si>
  <si>
    <t>현 담보비율</t>
  </si>
  <si>
    <t>현 담보금액</t>
  </si>
  <si>
    <t>㈜오케이 파이낸셜 대부 (신청사)</t>
  </si>
  <si>
    <t>1차</t>
  </si>
  <si>
    <t>2016.08.31</t>
  </si>
  <si>
    <t>2018.04.30</t>
  </si>
  <si>
    <t>완 제</t>
  </si>
  <si>
    <t>2차</t>
  </si>
  <si>
    <t>2016.11.11</t>
  </si>
  <si>
    <t>2018.11.11</t>
  </si>
  <si>
    <t>3차</t>
  </si>
  <si>
    <t>2016.11.17</t>
  </si>
  <si>
    <t>2018.11.17</t>
  </si>
  <si>
    <t>4차</t>
  </si>
  <si>
    <t>2019.05.31</t>
  </si>
  <si>
    <t>2021.01.31</t>
  </si>
  <si>
    <t>5차</t>
  </si>
  <si>
    <t>2019.12.31</t>
  </si>
  <si>
    <t>2021.08.31</t>
  </si>
  <si>
    <t>6차</t>
  </si>
  <si>
    <t>2020.02.11</t>
  </si>
  <si>
    <t>2021.10.11</t>
  </si>
  <si>
    <t>7차</t>
  </si>
  <si>
    <t>2020.06.24</t>
  </si>
  <si>
    <t>2022.02.24</t>
  </si>
  <si>
    <t>8차</t>
  </si>
  <si>
    <t>2020.11.30</t>
  </si>
  <si>
    <t>2022.07.30</t>
  </si>
  <si>
    <t>9차</t>
  </si>
  <si>
    <t>2021.05.21</t>
  </si>
  <si>
    <t>2023.01.21</t>
  </si>
  <si>
    <t>10차</t>
  </si>
  <si>
    <t>2022.02.28</t>
  </si>
  <si>
    <t>2023.10.28</t>
  </si>
  <si>
    <t>11차</t>
  </si>
  <si>
    <t>2023.08.07</t>
  </si>
  <si>
    <t>2024.04.05</t>
  </si>
  <si>
    <t>12차</t>
  </si>
  <si>
    <t>2023.08.29</t>
  </si>
  <si>
    <t>2024.04.29</t>
  </si>
  <si>
    <t>13차</t>
  </si>
  <si>
    <t>2023.08.09</t>
  </si>
  <si>
    <t>2025.04.09</t>
  </si>
  <si>
    <t>14차</t>
  </si>
  <si>
    <t>2024.06.27</t>
  </si>
  <si>
    <t>2026.02.27</t>
  </si>
  <si>
    <t>㈜골든 캐피탈대부 (보증사)</t>
  </si>
  <si>
    <t>2014.08.13</t>
  </si>
  <si>
    <t>2016.02.13</t>
  </si>
  <si>
    <t>2014.09.30</t>
  </si>
  <si>
    <t>2016.03.30</t>
  </si>
  <si>
    <t>2014.11.20</t>
  </si>
  <si>
    <t>2016.05.20</t>
  </si>
  <si>
    <t>2015.04.30</t>
  </si>
  <si>
    <t>2016.10.30</t>
  </si>
  <si>
    <t>2015.07.22</t>
  </si>
  <si>
    <t>2017.01.22</t>
  </si>
  <si>
    <t>2015.09.21</t>
  </si>
  <si>
    <t>2017.03.21</t>
  </si>
  <si>
    <t>2015.12.31</t>
  </si>
  <si>
    <t>2017.06.30</t>
  </si>
  <si>
    <t>2016.03.10</t>
  </si>
  <si>
    <t>2017.09.10</t>
  </si>
  <si>
    <t>2016.06.30</t>
  </si>
  <si>
    <t>2017.12.30</t>
  </si>
  <si>
    <t>2016.09.12</t>
  </si>
  <si>
    <t>2018.03.12</t>
  </si>
  <si>
    <t>2016.09.28</t>
  </si>
  <si>
    <t>2018.03.28</t>
  </si>
  <si>
    <t>2017.01.17</t>
  </si>
  <si>
    <t>2019.01.17</t>
  </si>
  <si>
    <t>2017.01.26</t>
  </si>
  <si>
    <t>2019.01.26</t>
  </si>
  <si>
    <t>2017.04.28</t>
  </si>
  <si>
    <t>2018.12.28</t>
  </si>
  <si>
    <t>15차</t>
  </si>
  <si>
    <t>2017.05.02</t>
  </si>
  <si>
    <t>2019.01.02</t>
  </si>
  <si>
    <t>16차</t>
  </si>
  <si>
    <t>2017.11.30</t>
  </si>
  <si>
    <t>2019.07.30</t>
  </si>
  <si>
    <t>17차</t>
  </si>
  <si>
    <t>2018.01.31</t>
  </si>
  <si>
    <t>2019.09.30</t>
  </si>
  <si>
    <t>18차</t>
  </si>
  <si>
    <t>2018.10.31</t>
  </si>
  <si>
    <t>2020.06.30</t>
  </si>
  <si>
    <t>19차</t>
  </si>
  <si>
    <t>2018.11.23</t>
  </si>
  <si>
    <t>2020.07.23</t>
  </si>
  <si>
    <t>20차</t>
  </si>
  <si>
    <t>2019.01.31</t>
  </si>
  <si>
    <t>2020.09.30</t>
  </si>
  <si>
    <t>21차</t>
  </si>
  <si>
    <t>2019.04.01</t>
  </si>
  <si>
    <t>2020.12.01</t>
  </si>
  <si>
    <t>22차</t>
  </si>
  <si>
    <t>2019.07.31</t>
  </si>
  <si>
    <t>2021.03.31</t>
  </si>
  <si>
    <t>23차</t>
  </si>
  <si>
    <t>2020.02.17</t>
  </si>
  <si>
    <t>2021.10.17</t>
  </si>
  <si>
    <t>24차</t>
  </si>
  <si>
    <t>2020.08.13</t>
  </si>
  <si>
    <t>2022.04.13</t>
  </si>
  <si>
    <t>25차</t>
  </si>
  <si>
    <t>2020.08.31</t>
  </si>
  <si>
    <t>2022.04.30</t>
  </si>
  <si>
    <t>26차</t>
  </si>
  <si>
    <t>2020.12.28</t>
  </si>
  <si>
    <t>2022.08.28</t>
  </si>
  <si>
    <t>27차</t>
  </si>
  <si>
    <t>2021.01.06</t>
  </si>
  <si>
    <t>2022.09.06</t>
  </si>
  <si>
    <t>28차</t>
  </si>
  <si>
    <t>2021.08.27</t>
  </si>
  <si>
    <t>2023.04.27</t>
  </si>
  <si>
    <t>29차</t>
  </si>
  <si>
    <t>2021.11.25</t>
  </si>
  <si>
    <t>2023.07.25</t>
  </si>
  <si>
    <t>30차</t>
  </si>
  <si>
    <t>2024.05.21</t>
  </si>
  <si>
    <t>2026.01.21</t>
  </si>
  <si>
    <t>박 은 섭</t>
  </si>
  <si>
    <t>서울시 영등포구 국회대로74길 4, 2층</t>
  </si>
  <si>
    <t>30명</t>
  </si>
  <si>
    <t>보통주</t>
  </si>
  <si>
    <t>상환우선주</t>
  </si>
  <si>
    <r>
      <t>1)</t>
    </r>
    <r>
      <rPr>
        <b/>
        <sz val="7"/>
        <color theme="1"/>
        <rFont val="Times New Roman"/>
        <family val="1"/>
      </rPr>
      <t xml:space="preserve">  </t>
    </r>
    <r>
      <rPr>
        <b/>
        <sz val="9"/>
        <color theme="1"/>
        <rFont val="맑은 고딕"/>
        <family val="3"/>
        <charset val="129"/>
        <scheme val="minor"/>
      </rPr>
      <t>대표이사 박은섭 경력사항</t>
    </r>
  </si>
  <si>
    <r>
      <t xml:space="preserve">- </t>
    </r>
    <r>
      <rPr>
        <sz val="9"/>
        <color theme="1"/>
        <rFont val="SimSun"/>
        <charset val="134"/>
      </rPr>
      <t xml:space="preserve">前 </t>
    </r>
    <r>
      <rPr>
        <sz val="9"/>
        <color theme="1"/>
        <rFont val="맑은 고딕"/>
        <family val="3"/>
        <charset val="129"/>
      </rPr>
      <t>㈜굿모닝캐피탈대부 이사</t>
    </r>
  </si>
  <si>
    <r>
      <t xml:space="preserve">- </t>
    </r>
    <r>
      <rPr>
        <sz val="9"/>
        <color theme="1"/>
        <rFont val="SimSun"/>
        <charset val="134"/>
      </rPr>
      <t xml:space="preserve">前 </t>
    </r>
    <r>
      <rPr>
        <sz val="9"/>
        <color theme="1"/>
        <rFont val="맑은 고딕"/>
        <family val="3"/>
        <charset val="129"/>
      </rPr>
      <t>㈜케이지코퍼레이션대부 이사</t>
    </r>
  </si>
  <si>
    <r>
      <t xml:space="preserve">- </t>
    </r>
    <r>
      <rPr>
        <sz val="9"/>
        <color theme="1"/>
        <rFont val="SimSun"/>
        <charset val="134"/>
      </rPr>
      <t xml:space="preserve">現 </t>
    </r>
    <r>
      <rPr>
        <sz val="9"/>
        <color theme="1"/>
        <rFont val="맑은 고딕"/>
        <family val="3"/>
        <charset val="129"/>
      </rPr>
      <t>㈜골든캐피탈대부 대표이사</t>
    </r>
  </si>
  <si>
    <r>
      <t xml:space="preserve">- </t>
    </r>
    <r>
      <rPr>
        <sz val="9"/>
        <color theme="1"/>
        <rFont val="SimSun"/>
        <charset val="134"/>
      </rPr>
      <t xml:space="preserve">現 </t>
    </r>
    <r>
      <rPr>
        <sz val="9"/>
        <color theme="1"/>
        <rFont val="맑은 고딕"/>
        <family val="3"/>
        <charset val="129"/>
      </rPr>
      <t>㈜오케이파이낸셜대부 대표이사</t>
    </r>
  </si>
  <si>
    <t>박 은 섭(740112-1)</t>
    <phoneticPr fontId="1" type="noConversion"/>
  </si>
  <si>
    <t>110111-5589580 /264-81-47097</t>
    <phoneticPr fontId="1" type="noConversion"/>
  </si>
  <si>
    <t xml:space="preserve">표 개수 30개임 </t>
  </si>
  <si>
    <t>@</t>
    <phoneticPr fontId="1" type="noConversion"/>
  </si>
  <si>
    <t>버전 및 정책관리</t>
    <phoneticPr fontId="1" type="noConversion"/>
  </si>
  <si>
    <t>목적</t>
    <phoneticPr fontId="1" type="noConversion"/>
  </si>
  <si>
    <t>T01. 대출기본정보 (Loan Overview Table)</t>
  </si>
  <si>
    <t>table_no</t>
  </si>
  <si>
    <t>field_id</t>
  </si>
  <si>
    <t>label_kor</t>
  </si>
  <si>
    <t>description</t>
  </si>
  <si>
    <t>concept_id</t>
  </si>
  <si>
    <t>data_type</t>
  </si>
  <si>
    <t>예시값</t>
  </si>
  <si>
    <t>T01</t>
  </si>
  <si>
    <t>T01_HDR_COMPANY_NAME</t>
  </si>
  <si>
    <t>업체명</t>
  </si>
  <si>
    <t>차주 회사명(대부업체)</t>
  </si>
  <si>
    <t>borrower_name</t>
  </si>
  <si>
    <t>text</t>
  </si>
  <si>
    <t>(주)오케이파이낸셜대부</t>
  </si>
  <si>
    <t>T01_HDR_CORP_REGNO</t>
  </si>
  <si>
    <t>법인등록번호</t>
  </si>
  <si>
    <t>borrower_regno</t>
  </si>
  <si>
    <t>123-45-67890</t>
  </si>
  <si>
    <t>T01_HDR_LOAN_AMOUNT</t>
  </si>
  <si>
    <t>본건 신청 대출금액(원화)</t>
  </si>
  <si>
    <t>loan_amount</t>
  </si>
  <si>
    <t>number</t>
  </si>
  <si>
    <t>T01_HDR_LOAN_PRODUCT</t>
  </si>
  <si>
    <t>loan_product_name</t>
  </si>
  <si>
    <t>운영자금대출</t>
  </si>
  <si>
    <t>T01_HDR_LOAN_RATE</t>
  </si>
  <si>
    <t>연 이자율(%)</t>
  </si>
  <si>
    <t>loan_rate</t>
  </si>
  <si>
    <t>T01_HDR_LOAN_TENOR</t>
  </si>
  <si>
    <t>개월수(또는 기한일)</t>
  </si>
  <si>
    <t>loan_tenor_month</t>
  </si>
  <si>
    <t>T01_HDR_EXPECTED_DATE</t>
  </si>
  <si>
    <t>대출 실행 예정일</t>
  </si>
  <si>
    <t>loan_start_date</t>
  </si>
  <si>
    <t>date</t>
  </si>
  <si>
    <t>T01_HDR_DAEBO_BALANCE</t>
  </si>
  <si>
    <t>대부업대출잔액</t>
  </si>
  <si>
    <t>대부업체 포트폴리오 내 대출채권 잔액</t>
  </si>
  <si>
    <t>dae_loan_balance</t>
  </si>
  <si>
    <t>T01_HDR_ASSET_RATIO</t>
  </si>
  <si>
    <t>자산/자본비율</t>
  </si>
  <si>
    <t>asset_equity_multiple</t>
  </si>
  <si>
    <t>T02. 신청사 현황 (Borrower Profile)</t>
  </si>
  <si>
    <t>T02</t>
  </si>
  <si>
    <t>T02_PRF_FOUND_DATE</t>
  </si>
  <si>
    <t>법인설립일</t>
  </si>
  <si>
    <t>corp_established_date</t>
  </si>
  <si>
    <t>주요사업</t>
  </si>
  <si>
    <t>대부업, 할부금융 등</t>
  </si>
  <si>
    <t>main_business</t>
  </si>
  <si>
    <t>신용대출 및 리스</t>
  </si>
  <si>
    <t>등록번호</t>
  </si>
  <si>
    <t>lending_license_no</t>
  </si>
  <si>
    <t>2024-서울-01234</t>
  </si>
  <si>
    <t>T02_PRF_CAPITAL</t>
  </si>
  <si>
    <t>paid_in_capital</t>
  </si>
  <si>
    <t>T02_PRF_EMP_COUNT</t>
  </si>
  <si>
    <t>직원수</t>
  </si>
  <si>
    <t>정규직 기준 인원수</t>
  </si>
  <si>
    <t>num_employees</t>
  </si>
  <si>
    <t>T02_PRF_ADDR</t>
  </si>
  <si>
    <t>본점주소</t>
  </si>
  <si>
    <t>본사 위치</t>
  </si>
  <si>
    <t>address_main</t>
  </si>
  <si>
    <t>서울특별시 중구 세종대로 110</t>
  </si>
  <si>
    <t>T03. 주주현황 (Shareholder Composition)</t>
  </si>
  <si>
    <t>T03</t>
  </si>
  <si>
    <t>T03_SHR_MAJOR_NAME_1</t>
  </si>
  <si>
    <t>주요주주1</t>
  </si>
  <si>
    <t>최대주주 성명</t>
  </si>
  <si>
    <t>shareholder_1_name</t>
  </si>
  <si>
    <t>T03_SHR_MAJOR_RATIO_1</t>
  </si>
  <si>
    <t>지분율1(%)</t>
  </si>
  <si>
    <t>최대주주 지분율</t>
  </si>
  <si>
    <t>shareholder_1_ratio</t>
  </si>
  <si>
    <t>T03_SHR_MAJOR_NAME_2</t>
  </si>
  <si>
    <t>주요주주2</t>
  </si>
  <si>
    <t>2대주주 성명</t>
  </si>
  <si>
    <t>shareholder_2_name</t>
  </si>
  <si>
    <t>박상훈</t>
  </si>
  <si>
    <t>T03_SHR_MAJOR_RATIO_2</t>
  </si>
  <si>
    <t>지분율2(%)</t>
  </si>
  <si>
    <t>2대주주 지분율</t>
  </si>
  <si>
    <t>shareholder_2_ratio</t>
  </si>
  <si>
    <t>T03_SHR_ETC_RATIO</t>
  </si>
  <si>
    <t>기타주주 지분율</t>
  </si>
  <si>
    <t>나머지 소액주주 등</t>
  </si>
  <si>
    <t>shareholder_other_ratio</t>
  </si>
  <si>
    <t>T04. 재무제표 요약 (Financial Summary)</t>
  </si>
  <si>
    <t>T04A</t>
  </si>
  <si>
    <t>T04A_BS_TOTAL_ASSETS</t>
  </si>
  <si>
    <t>총자산</t>
  </si>
  <si>
    <t>total_assets</t>
  </si>
  <si>
    <t>T04A_BS_CASH_EQUIV</t>
  </si>
  <si>
    <t>단기현금 + 예치금</t>
  </si>
  <si>
    <t>cash_equivalents</t>
  </si>
  <si>
    <t>T04A_BS_LOAN_BOOK</t>
  </si>
  <si>
    <t>대출금(총액 기준)</t>
  </si>
  <si>
    <t>loan_book_gross</t>
  </si>
  <si>
    <t>T04A_BS_LOAN_RESERVE</t>
  </si>
  <si>
    <t>대출채권 대비 충당금</t>
  </si>
  <si>
    <t>loan_loss_reserve</t>
  </si>
  <si>
    <t>T04A_BS_ETC_ASSETS</t>
  </si>
  <si>
    <t>비중소 항목</t>
  </si>
  <si>
    <t>other_assets</t>
  </si>
  <si>
    <t>T04A_BS_TOTAL_LIAB</t>
  </si>
  <si>
    <t>총부채</t>
  </si>
  <si>
    <t>total_liabilities</t>
  </si>
  <si>
    <t>T04A_BS_BORROWINGS</t>
  </si>
  <si>
    <t>차입금 + 사채</t>
  </si>
  <si>
    <t>borrowings</t>
  </si>
  <si>
    <t>T04A_BS_OTHER_LIAB</t>
  </si>
  <si>
    <t>비금융부채</t>
  </si>
  <si>
    <t>other_liabilities</t>
  </si>
  <si>
    <t>T04A_BS_TOTAL_EQUITY</t>
  </si>
  <si>
    <t>자본금+잉여금 등</t>
  </si>
  <si>
    <t>total_equity</t>
  </si>
  <si>
    <t>T04B</t>
  </si>
  <si>
    <t>T04B_PL_REVENUE</t>
  </si>
  <si>
    <t>대출이자 등</t>
  </si>
  <si>
    <t>operating_revenue</t>
  </si>
  <si>
    <t>T04B_PL_OPER_PROFIT</t>
  </si>
  <si>
    <t>영업이익(세전)</t>
  </si>
  <si>
    <t>operating_profit</t>
  </si>
  <si>
    <t>T04B_PL_NET_PROFIT</t>
  </si>
  <si>
    <t>법인세 차감 후 이익</t>
  </si>
  <si>
    <t>net_income</t>
  </si>
  <si>
    <t>T04B_PL_LOSS_FLAG</t>
  </si>
  <si>
    <t>손실여부</t>
  </si>
  <si>
    <t>0/1 Flag</t>
  </si>
  <si>
    <t>flag_loss</t>
  </si>
  <si>
    <t>boolean</t>
  </si>
  <si>
    <t>T04C</t>
  </si>
  <si>
    <t>T04C_RT_LIQUIDITY</t>
  </si>
  <si>
    <t>유동비율</t>
  </si>
  <si>
    <t>유동자산/유동부채</t>
  </si>
  <si>
    <t>liquidity_ratio</t>
  </si>
  <si>
    <t>T04C_RT_LEVERAGE</t>
  </si>
  <si>
    <t>부채비율</t>
  </si>
  <si>
    <t>부채/자본</t>
  </si>
  <si>
    <t>leverage_ratio</t>
  </si>
  <si>
    <t>T04C_RT_ROE</t>
  </si>
  <si>
    <t>자기자본이익률</t>
  </si>
  <si>
    <t>순이익/자본</t>
  </si>
  <si>
    <t>roe_ratio</t>
  </si>
  <si>
    <t>T04C_RT_NPL</t>
  </si>
  <si>
    <t>부실채권/대출채권</t>
  </si>
  <si>
    <t>npl_ratio</t>
  </si>
  <si>
    <t>1. Table description</t>
  </si>
  <si>
    <t>2. Data restriction</t>
    <phoneticPr fontId="1" type="noConversion"/>
  </si>
  <si>
    <t>3. Feildmap</t>
  </si>
  <si>
    <t>T02_PRF_MAINBUSINESS</t>
    <phoneticPr fontId="1" type="noConversion"/>
  </si>
  <si>
    <t>T02_PRF_LICENSE_NO</t>
    <phoneticPr fontId="1" type="noConversion"/>
  </si>
  <si>
    <t>ratio</t>
  </si>
  <si>
    <t>ratio</t>
    <phoneticPr fontId="1" type="noConversion"/>
  </si>
  <si>
    <t>내용 넘버(표or 줄글)</t>
    <phoneticPr fontId="1" type="noConversion"/>
  </si>
  <si>
    <t>제목</t>
    <phoneticPr fontId="1" type="noConversion"/>
  </si>
  <si>
    <t>출처</t>
    <phoneticPr fontId="1" type="noConversion"/>
  </si>
  <si>
    <t>차주</t>
    <phoneticPr fontId="1" type="noConversion"/>
  </si>
  <si>
    <t>개요</t>
    <phoneticPr fontId="1" type="noConversion"/>
  </si>
  <si>
    <t>&gt;&gt;&gt;&gt;&gt;내용</t>
    <phoneticPr fontId="1" type="noConversion"/>
  </si>
  <si>
    <t>담보사항</t>
    <phoneticPr fontId="1" type="noConversion"/>
  </si>
  <si>
    <t>신청사 및 보증사 당행 차입현황</t>
    <phoneticPr fontId="1" type="noConversion"/>
  </si>
  <si>
    <t>대주</t>
    <phoneticPr fontId="1" type="noConversion"/>
  </si>
  <si>
    <t>대주</t>
    <phoneticPr fontId="1" type="noConversion"/>
  </si>
  <si>
    <t>차주</t>
    <phoneticPr fontId="1" type="noConversion"/>
  </si>
  <si>
    <t>신청사 주주현황</t>
    <phoneticPr fontId="1" type="noConversion"/>
  </si>
  <si>
    <t>신청사 개요</t>
    <phoneticPr fontId="1" type="noConversion"/>
  </si>
  <si>
    <t>신청사 대표 경력</t>
    <phoneticPr fontId="1" type="noConversion"/>
  </si>
  <si>
    <t>신청사 BS</t>
    <phoneticPr fontId="1" type="noConversion"/>
  </si>
  <si>
    <t>신청사 PL</t>
    <phoneticPr fontId="1" type="noConversion"/>
  </si>
  <si>
    <t>신청사 재무지표</t>
    <phoneticPr fontId="1" type="noConversion"/>
  </si>
  <si>
    <t>신청사 차입금현황</t>
    <phoneticPr fontId="1" type="noConversion"/>
  </si>
  <si>
    <t>신청사 대출상품 잔액 및 비중</t>
    <phoneticPr fontId="1" type="noConversion"/>
  </si>
  <si>
    <t>신청사 영업 주요상품</t>
    <phoneticPr fontId="1" type="noConversion"/>
  </si>
  <si>
    <t>신청사 월별 영업현황</t>
    <phoneticPr fontId="1" type="noConversion"/>
  </si>
  <si>
    <t>차주</t>
    <phoneticPr fontId="1" type="noConversion"/>
  </si>
  <si>
    <t>신청사 월별 대출취급 및 원리금상환 현황</t>
    <phoneticPr fontId="1" type="noConversion"/>
  </si>
  <si>
    <t>차주</t>
    <phoneticPr fontId="1" type="noConversion"/>
  </si>
  <si>
    <t>신청사 총자산한도 현황</t>
    <phoneticPr fontId="1" type="noConversion"/>
  </si>
  <si>
    <t>신청사 연체율 현황</t>
    <phoneticPr fontId="1" type="noConversion"/>
  </si>
  <si>
    <t>신청사 연체율 현황(당해년도분)</t>
    <phoneticPr fontId="1" type="noConversion"/>
  </si>
  <si>
    <t>신청사 대손충당금 현황</t>
    <phoneticPr fontId="1" type="noConversion"/>
  </si>
  <si>
    <t>신청사 대손충당금 적립비율</t>
    <phoneticPr fontId="1" type="noConversion"/>
  </si>
  <si>
    <t>차주</t>
    <phoneticPr fontId="1" type="noConversion"/>
  </si>
  <si>
    <t>신청사 자산건전성 현황</t>
    <phoneticPr fontId="1" type="noConversion"/>
  </si>
  <si>
    <t>보증사 개요</t>
    <phoneticPr fontId="1" type="noConversion"/>
  </si>
  <si>
    <t>보증사 주주현황</t>
    <phoneticPr fontId="1" type="noConversion"/>
  </si>
  <si>
    <t>보증사 BS</t>
    <phoneticPr fontId="1" type="noConversion"/>
  </si>
  <si>
    <t>보증사 PL</t>
    <phoneticPr fontId="1" type="noConversion"/>
  </si>
  <si>
    <t>보증사 주요 재무지표</t>
    <phoneticPr fontId="1" type="noConversion"/>
  </si>
  <si>
    <t>보증사 영업현황</t>
    <phoneticPr fontId="1" type="noConversion"/>
  </si>
  <si>
    <t>보증사 월별 영업현황</t>
    <phoneticPr fontId="1" type="noConversion"/>
  </si>
  <si>
    <t>보증사 총자산한도</t>
    <phoneticPr fontId="1" type="noConversion"/>
  </si>
  <si>
    <t>영업팀 최종의견</t>
    <phoneticPr fontId="1" type="noConversion"/>
  </si>
  <si>
    <t>별첨1.차주 차입금현황</t>
    <phoneticPr fontId="1" type="noConversion"/>
  </si>
  <si>
    <t>별첨1.1 차주 차입금 요약표</t>
    <phoneticPr fontId="1" type="noConversion"/>
  </si>
  <si>
    <t>별첨2 보증사 차입금 현황</t>
    <phoneticPr fontId="1" type="noConversion"/>
  </si>
  <si>
    <t>보증사 차입금 요약표</t>
    <phoneticPr fontId="1" type="noConversion"/>
  </si>
  <si>
    <t>차주</t>
    <phoneticPr fontId="1" type="noConversion"/>
  </si>
  <si>
    <t>준화형 검토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</si>
</sst>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 #,##0_-;_-* &quot;-&quot;_-;_-@_-"/>
    <numFmt numFmtId="176" formatCode="0.0%"/>
  </numFmts>
  <fonts count="16" x14ac:knownFonts="1">
    <font>
      <sz val="11"/>
      <color theme="1"/>
      <name val="맑은 고딕"/>
      <family val="2"/>
      <scheme val="minor"/>
    </font>
    <font>
      <sz val="8"/>
      <name val="맑은 고딕"/>
      <family val="3"/>
      <charset val="129"/>
      <scheme val="minor"/>
    </font>
    <font>
      <sz val="11"/>
      <color theme="1"/>
      <name val="맑은 고딕"/>
      <family val="2"/>
      <scheme val="minor"/>
    </font>
    <font>
      <sz val="11"/>
      <color theme="1"/>
      <name val="맑은 고딕"/>
      <family val="3"/>
      <charset val="129"/>
      <scheme val="minor"/>
    </font>
    <font>
      <b/>
      <sz val="11"/>
      <color theme="1"/>
      <name val="맑은 고딕"/>
      <family val="3"/>
      <charset val="129"/>
      <scheme val="minor"/>
    </font>
    <font>
      <b/>
      <sz val="9"/>
      <color theme="1"/>
      <name val="맑은 고딕"/>
      <family val="3"/>
      <charset val="129"/>
      <scheme val="minor"/>
    </font>
    <font>
      <b/>
      <sz val="7"/>
      <color theme="1"/>
      <name val="Times New Roman"/>
      <family val="1"/>
    </font>
    <font>
      <sz val="8"/>
      <color theme="1"/>
      <name val="맑은 고딕"/>
      <family val="3"/>
      <charset val="129"/>
      <scheme val="minor"/>
    </font>
    <font>
      <sz val="9"/>
      <color theme="1"/>
      <name val="맑은 고딕"/>
      <family val="3"/>
      <charset val="129"/>
    </font>
    <font>
      <b/>
      <sz val="9"/>
      <color theme="1"/>
      <name val="맑은 고딕"/>
      <family val="3"/>
      <charset val="129"/>
    </font>
    <font>
      <sz val="9"/>
      <color theme="1"/>
      <name val="맑은 고딕"/>
      <family val="3"/>
      <charset val="129"/>
      <scheme val="minor"/>
    </font>
    <font>
      <sz val="11"/>
      <color rgb="FFFF0000"/>
      <name val="맑은 고딕"/>
      <family val="2"/>
      <scheme val="minor"/>
    </font>
    <font>
      <sz val="9"/>
      <color theme="1"/>
      <name val="SimSun"/>
      <charset val="134"/>
    </font>
    <font>
      <sz val="7"/>
      <color theme="1"/>
      <name val="Times New Roman"/>
      <family val="1"/>
    </font>
    <font>
      <sz val="10"/>
      <color theme="1"/>
      <name val="맑은 고딕"/>
      <family val="3"/>
      <charset val="129"/>
    </font>
    <font>
      <b/>
      <sz val="11"/>
      <color theme="0" tint="-4.9989318521683403E-2"/>
      <name val="맑은 고딕"/>
      <family val="3"/>
      <charset val="129"/>
      <scheme val="minor"/>
    </font>
  </fonts>
  <fills count="5">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right/>
      <top style="thin">
        <color indexed="64"/>
      </top>
      <bottom style="thin">
        <color indexed="64"/>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right style="dotted">
        <color rgb="FF000000"/>
      </right>
      <top/>
      <bottom style="dotted">
        <color rgb="FF000000"/>
      </bottom>
      <diagonal/>
    </border>
    <border>
      <left/>
      <right style="medium">
        <color rgb="FF000000"/>
      </right>
      <top/>
      <bottom style="dotted">
        <color rgb="FF000000"/>
      </bottom>
      <diagonal/>
    </border>
    <border>
      <left/>
      <right style="medium">
        <color rgb="FF000000"/>
      </right>
      <top style="dotted">
        <color rgb="FF000000"/>
      </top>
      <bottom style="dotted">
        <color rgb="FF000000"/>
      </bottom>
      <diagonal/>
    </border>
    <border>
      <left style="medium">
        <color rgb="FF000000"/>
      </left>
      <right style="dotted">
        <color rgb="FF000000"/>
      </right>
      <top/>
      <bottom style="medium">
        <color rgb="FF000000"/>
      </bottom>
      <diagonal/>
    </border>
    <border>
      <left/>
      <right style="dotted">
        <color rgb="FF000000"/>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dotted">
        <color rgb="FF000000"/>
      </right>
      <top/>
      <bottom/>
      <diagonal/>
    </border>
    <border>
      <left/>
      <right style="dotted">
        <color rgb="FF000000"/>
      </right>
      <top style="dotted">
        <color rgb="FF000000"/>
      </top>
      <bottom style="medium">
        <color rgb="FF000000"/>
      </bottom>
      <diagonal/>
    </border>
    <border>
      <left style="medium">
        <color rgb="FF000000"/>
      </left>
      <right style="dotted">
        <color rgb="FF000000"/>
      </right>
      <top style="medium">
        <color rgb="FF000000"/>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thick">
        <color rgb="FF315E97"/>
      </right>
      <top style="dotted">
        <color rgb="FF000000"/>
      </top>
      <bottom style="dotted">
        <color rgb="FF000000"/>
      </bottom>
      <diagonal/>
    </border>
    <border>
      <left style="dotted">
        <color rgb="FF000000"/>
      </left>
      <right/>
      <top style="dotted">
        <color rgb="FF000000"/>
      </top>
      <bottom style="medium">
        <color rgb="FF000000"/>
      </bottom>
      <diagonal/>
    </border>
    <border>
      <left/>
      <right/>
      <top style="dotted">
        <color rgb="FF000000"/>
      </top>
      <bottom style="medium">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dotted">
        <color rgb="FF000000"/>
      </right>
      <top style="medium">
        <color rgb="FF000000"/>
      </top>
      <bottom style="medium">
        <color rgb="FF000000"/>
      </bottom>
      <diagonal/>
    </border>
    <border>
      <left/>
      <right/>
      <top/>
      <bottom style="thin">
        <color indexed="64"/>
      </bottom>
      <diagonal/>
    </border>
  </borders>
  <cellStyleXfs count="3">
    <xf numFmtId="0" fontId="0" fillId="0" borderId="0"/>
    <xf numFmtId="41"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98">
    <xf numFmtId="0" fontId="0" fillId="0" borderId="0" xfId="0"/>
    <xf numFmtId="0" fontId="0" fillId="0" borderId="0" xfId="0" applyNumberFormat="1" applyAlignment="1">
      <alignment shrinkToFit="1"/>
    </xf>
    <xf numFmtId="0" fontId="0" fillId="2" borderId="0" xfId="0" applyFill="1"/>
    <xf numFmtId="0" fontId="0" fillId="0" borderId="0" xfId="0" quotePrefix="1"/>
    <xf numFmtId="0" fontId="0" fillId="0" borderId="0" xfId="0" applyAlignment="1">
      <alignment horizontal="center"/>
    </xf>
    <xf numFmtId="0" fontId="0" fillId="0" borderId="1" xfId="0" applyBorder="1" applyAlignment="1">
      <alignment horizontal="center"/>
    </xf>
    <xf numFmtId="0" fontId="0" fillId="0" borderId="1" xfId="0" applyNumberFormat="1" applyBorder="1" applyAlignment="1">
      <alignment horizontal="center" shrinkToFit="1"/>
    </xf>
    <xf numFmtId="0" fontId="0" fillId="2" borderId="0" xfId="0" applyFill="1" applyAlignment="1">
      <alignment horizontal="center"/>
    </xf>
    <xf numFmtId="0" fontId="0" fillId="0" borderId="0" xfId="0" applyNumberFormat="1" applyAlignment="1">
      <alignment horizontal="center" shrinkToFit="1"/>
    </xf>
    <xf numFmtId="3" fontId="0" fillId="0" borderId="0" xfId="0" applyNumberFormat="1"/>
    <xf numFmtId="0" fontId="0" fillId="3" borderId="0" xfId="0" applyFill="1"/>
    <xf numFmtId="3" fontId="0" fillId="3" borderId="0" xfId="0" applyNumberFormat="1" applyFill="1"/>
    <xf numFmtId="9" fontId="0" fillId="0" borderId="0" xfId="2" applyFont="1" applyAlignment="1"/>
    <xf numFmtId="14" fontId="0" fillId="0" borderId="0" xfId="0" applyNumberFormat="1"/>
    <xf numFmtId="41" fontId="0" fillId="0" borderId="0" xfId="1" applyFont="1" applyAlignment="1"/>
    <xf numFmtId="10" fontId="0" fillId="0" borderId="0" xfId="0" applyNumberFormat="1"/>
    <xf numFmtId="176" fontId="0" fillId="0" borderId="0" xfId="2" applyNumberFormat="1" applyFont="1" applyAlignment="1"/>
    <xf numFmtId="10" fontId="0" fillId="0" borderId="0" xfId="2" applyNumberFormat="1" applyFont="1" applyAlignment="1"/>
    <xf numFmtId="0" fontId="5" fillId="0" borderId="0" xfId="0" applyFont="1" applyAlignment="1">
      <alignment horizontal="left" vertical="center" indent="2"/>
    </xf>
    <xf numFmtId="3" fontId="8" fillId="0" borderId="5" xfId="0" applyNumberFormat="1" applyFont="1" applyBorder="1" applyAlignment="1">
      <alignment horizontal="right" vertical="center" wrapText="1"/>
    </xf>
    <xf numFmtId="0" fontId="10" fillId="0" borderId="0" xfId="0" applyFont="1" applyAlignment="1">
      <alignment vertical="center"/>
    </xf>
    <xf numFmtId="3" fontId="9" fillId="0" borderId="9" xfId="0" applyNumberFormat="1" applyFont="1" applyBorder="1" applyAlignment="1">
      <alignment horizontal="right" vertical="center" wrapText="1"/>
    </xf>
    <xf numFmtId="0" fontId="0" fillId="0" borderId="11" xfId="0" applyBorder="1"/>
    <xf numFmtId="41" fontId="0" fillId="0" borderId="12" xfId="1" applyFont="1" applyBorder="1" applyAlignment="1"/>
    <xf numFmtId="41" fontId="0" fillId="0" borderId="13" xfId="1" applyFont="1" applyBorder="1" applyAlignment="1"/>
    <xf numFmtId="0" fontId="0" fillId="0" borderId="0" xfId="0" quotePrefix="1" applyAlignment="1">
      <alignment horizontal="center"/>
    </xf>
    <xf numFmtId="10" fontId="11" fillId="0" borderId="0" xfId="0" applyNumberFormat="1" applyFont="1"/>
    <xf numFmtId="10" fontId="0" fillId="3" borderId="0" xfId="0" applyNumberFormat="1" applyFill="1"/>
    <xf numFmtId="41" fontId="0" fillId="0" borderId="0" xfId="0" applyNumberFormat="1"/>
    <xf numFmtId="10" fontId="0" fillId="3" borderId="0" xfId="2" applyNumberFormat="1" applyFont="1" applyFill="1" applyAlignment="1"/>
    <xf numFmtId="0" fontId="8" fillId="0" borderId="3" xfId="0" applyFont="1" applyBorder="1" applyAlignment="1">
      <alignment horizontal="center" vertical="center" wrapText="1"/>
    </xf>
    <xf numFmtId="3" fontId="8" fillId="0" borderId="9" xfId="0" applyNumberFormat="1" applyFont="1" applyBorder="1" applyAlignment="1">
      <alignment horizontal="right" vertical="center" wrapText="1"/>
    </xf>
    <xf numFmtId="0" fontId="8" fillId="0" borderId="5" xfId="0" applyFont="1" applyBorder="1" applyAlignment="1">
      <alignment horizontal="center" vertical="center" wrapText="1"/>
    </xf>
    <xf numFmtId="10" fontId="8" fillId="0" borderId="5" xfId="0" applyNumberFormat="1" applyFont="1" applyBorder="1" applyAlignment="1">
      <alignment horizontal="center" vertical="center" wrapText="1"/>
    </xf>
    <xf numFmtId="0" fontId="8" fillId="0" borderId="9" xfId="0" applyFont="1" applyBorder="1" applyAlignment="1">
      <alignment horizontal="center" vertical="center" wrapText="1"/>
    </xf>
    <xf numFmtId="0" fontId="7" fillId="0" borderId="0" xfId="0" applyFont="1" applyAlignment="1">
      <alignment horizontal="left" vertical="center" indent="1"/>
    </xf>
    <xf numFmtId="0" fontId="8" fillId="0" borderId="14" xfId="0" applyFont="1" applyBorder="1" applyAlignment="1">
      <alignment horizontal="left" vertical="center" wrapText="1"/>
    </xf>
    <xf numFmtId="0" fontId="4" fillId="0" borderId="0" xfId="0" applyFont="1"/>
    <xf numFmtId="41" fontId="4" fillId="0" borderId="0" xfId="1" applyFont="1" applyAlignment="1"/>
    <xf numFmtId="41" fontId="0" fillId="0" borderId="0" xfId="1" applyFont="1" applyAlignment="1">
      <alignment horizontal="center"/>
    </xf>
    <xf numFmtId="41" fontId="4" fillId="0" borderId="0" xfId="1" applyFont="1" applyAlignment="1">
      <alignment horizontal="center"/>
    </xf>
    <xf numFmtId="0" fontId="4" fillId="0" borderId="0" xfId="0" applyFont="1" applyAlignment="1">
      <alignment horizontal="center"/>
    </xf>
    <xf numFmtId="176" fontId="0" fillId="0" borderId="0" xfId="2" applyNumberFormat="1" applyFont="1" applyAlignment="1">
      <alignment horizontal="center"/>
    </xf>
    <xf numFmtId="176" fontId="0" fillId="0" borderId="0" xfId="2" applyNumberFormat="1" applyFont="1" applyAlignment="1">
      <alignment horizontal="right"/>
    </xf>
    <xf numFmtId="10" fontId="0" fillId="0" borderId="0" xfId="2" applyNumberFormat="1" applyFont="1" applyAlignment="1">
      <alignment horizontal="right"/>
    </xf>
    <xf numFmtId="14" fontId="0" fillId="0" borderId="0" xfId="0" applyNumberFormat="1" applyAlignment="1">
      <alignment horizontal="center"/>
    </xf>
    <xf numFmtId="0" fontId="3" fillId="0" borderId="0" xfId="0" applyFont="1"/>
    <xf numFmtId="0" fontId="9" fillId="0" borderId="14" xfId="0" applyFont="1" applyBorder="1" applyAlignment="1">
      <alignment horizontal="center" vertical="center" wrapText="1"/>
    </xf>
    <xf numFmtId="0" fontId="8" fillId="0" borderId="18" xfId="0" applyFont="1" applyBorder="1" applyAlignment="1">
      <alignment vertical="center" wrapText="1"/>
    </xf>
    <xf numFmtId="0" fontId="8" fillId="0" borderId="7" xfId="0" applyFont="1" applyBorder="1" applyAlignment="1">
      <alignment vertical="center" wrapText="1"/>
    </xf>
    <xf numFmtId="0" fontId="10" fillId="0" borderId="0" xfId="0" applyFont="1" applyAlignment="1">
      <alignment horizontal="left" vertical="center" indent="3"/>
    </xf>
    <xf numFmtId="0" fontId="5" fillId="0" borderId="0" xfId="0" applyFont="1" applyAlignment="1">
      <alignment horizontal="left" vertical="center" inden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9" fillId="0" borderId="3" xfId="0" applyFont="1" applyBorder="1" applyAlignment="1">
      <alignment horizontal="left" vertical="center" wrapText="1" indent="1"/>
    </xf>
    <xf numFmtId="0" fontId="9" fillId="0" borderId="4" xfId="0" applyFont="1" applyBorder="1" applyAlignment="1">
      <alignment horizontal="left" vertical="center" wrapText="1" indent="1"/>
    </xf>
    <xf numFmtId="0" fontId="0" fillId="0" borderId="14" xfId="0" applyBorder="1" applyAlignment="1">
      <alignment vertical="top" wrapText="1"/>
    </xf>
    <xf numFmtId="0" fontId="0" fillId="0" borderId="8" xfId="0" applyBorder="1" applyAlignment="1">
      <alignment vertical="top" wrapText="1"/>
    </xf>
    <xf numFmtId="10" fontId="8" fillId="0" borderId="5" xfId="0" applyNumberFormat="1" applyFont="1" applyBorder="1" applyAlignment="1">
      <alignment horizontal="left" vertical="center" wrapText="1"/>
    </xf>
    <xf numFmtId="3" fontId="8" fillId="0" borderId="5" xfId="0" applyNumberFormat="1" applyFont="1" applyBorder="1" applyAlignment="1">
      <alignment horizontal="center" vertical="center" wrapText="1"/>
    </xf>
    <xf numFmtId="9" fontId="8" fillId="0" borderId="5" xfId="0" applyNumberFormat="1" applyFont="1" applyBorder="1" applyAlignment="1">
      <alignment horizontal="center" vertical="center" wrapText="1"/>
    </xf>
    <xf numFmtId="3" fontId="8" fillId="0" borderId="6" xfId="0" applyNumberFormat="1" applyFont="1" applyBorder="1" applyAlignment="1">
      <alignment horizontal="center" vertical="center" wrapText="1"/>
    </xf>
    <xf numFmtId="3" fontId="9" fillId="0" borderId="9" xfId="0" applyNumberFormat="1" applyFont="1" applyBorder="1" applyAlignment="1">
      <alignment horizontal="center" vertical="center" wrapText="1"/>
    </xf>
    <xf numFmtId="0" fontId="9" fillId="0" borderId="9" xfId="0" applyFont="1" applyBorder="1" applyAlignment="1">
      <alignment horizontal="center" vertical="center" wrapText="1"/>
    </xf>
    <xf numFmtId="3" fontId="9" fillId="0" borderId="10" xfId="0" applyNumberFormat="1" applyFont="1" applyBorder="1" applyAlignment="1">
      <alignment horizontal="center" vertical="center" wrapText="1"/>
    </xf>
    <xf numFmtId="10" fontId="8" fillId="0" borderId="5" xfId="0" applyNumberFormat="1" applyFont="1" applyBorder="1" applyAlignment="1">
      <alignment horizontal="right" vertical="center" wrapText="1"/>
    </xf>
    <xf numFmtId="10" fontId="8" fillId="0" borderId="9" xfId="0" applyNumberFormat="1" applyFont="1" applyBorder="1" applyAlignment="1">
      <alignment horizontal="right" vertical="center" wrapText="1"/>
    </xf>
    <xf numFmtId="0" fontId="14" fillId="0" borderId="16" xfId="0" applyFont="1" applyBorder="1" applyAlignment="1">
      <alignment vertical="top" wrapText="1"/>
    </xf>
    <xf numFmtId="10" fontId="8" fillId="0" borderId="3" xfId="0" applyNumberFormat="1" applyFont="1" applyBorder="1" applyAlignment="1">
      <alignment horizontal="right" vertical="center" wrapText="1"/>
    </xf>
    <xf numFmtId="3" fontId="8" fillId="0" borderId="3" xfId="0" applyNumberFormat="1" applyFont="1" applyBorder="1" applyAlignment="1">
      <alignment horizontal="right" vertical="center" wrapText="1"/>
    </xf>
    <xf numFmtId="9" fontId="8" fillId="0" borderId="5" xfId="0" applyNumberFormat="1" applyFont="1" applyBorder="1" applyAlignment="1">
      <alignment horizontal="left" vertical="center" wrapText="1" indent="1"/>
    </xf>
    <xf numFmtId="10" fontId="8" fillId="0" borderId="5" xfId="0" applyNumberFormat="1" applyFont="1" applyBorder="1" applyAlignment="1">
      <alignment horizontal="left" vertical="center" wrapText="1" indent="1"/>
    </xf>
    <xf numFmtId="0" fontId="9" fillId="0" borderId="9" xfId="0" applyFont="1" applyBorder="1" applyAlignment="1">
      <alignment horizontal="left" vertical="center" wrapText="1" indent="1"/>
    </xf>
    <xf numFmtId="0" fontId="8" fillId="0" borderId="19" xfId="0" applyFont="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15" xfId="0" applyFont="1" applyBorder="1" applyAlignment="1">
      <alignment vertical="center" wrapText="1"/>
    </xf>
    <xf numFmtId="0" fontId="8" fillId="0" borderId="23" xfId="0" applyFont="1" applyBorder="1" applyAlignment="1">
      <alignment vertical="center" wrapText="1"/>
    </xf>
    <xf numFmtId="0" fontId="8" fillId="0" borderId="4" xfId="0" applyFont="1" applyBorder="1" applyAlignment="1">
      <alignment vertical="center" wrapText="1"/>
    </xf>
    <xf numFmtId="0" fontId="8" fillId="0" borderId="21" xfId="0" applyFont="1" applyBorder="1" applyAlignment="1">
      <alignment vertical="center" wrapText="1"/>
    </xf>
    <xf numFmtId="0" fontId="8" fillId="0" borderId="24" xfId="0" applyFont="1" applyBorder="1" applyAlignment="1">
      <alignment vertical="center" wrapText="1"/>
    </xf>
    <xf numFmtId="0" fontId="14" fillId="0" borderId="14" xfId="0" applyFont="1" applyBorder="1" applyAlignment="1">
      <alignment vertical="top" wrapText="1"/>
    </xf>
    <xf numFmtId="0" fontId="14" fillId="0" borderId="8" xfId="0" applyFont="1" applyBorder="1" applyAlignment="1">
      <alignment vertical="top" wrapText="1"/>
    </xf>
    <xf numFmtId="0" fontId="9" fillId="0" borderId="25" xfId="0" applyFont="1" applyBorder="1" applyAlignment="1">
      <alignment vertical="center" wrapText="1"/>
    </xf>
    <xf numFmtId="0" fontId="9" fillId="0" borderId="26" xfId="0" applyFont="1" applyBorder="1" applyAlignment="1">
      <alignment vertical="center" wrapText="1"/>
    </xf>
    <xf numFmtId="0" fontId="9" fillId="0" borderId="27" xfId="0" applyFont="1" applyBorder="1" applyAlignment="1">
      <alignment vertical="center" wrapText="1"/>
    </xf>
    <xf numFmtId="0" fontId="8" fillId="0" borderId="17"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0" xfId="0" applyFont="1" applyBorder="1" applyAlignment="1">
      <alignment horizontal="center" vertical="center" wrapText="1"/>
    </xf>
    <xf numFmtId="0" fontId="0" fillId="0" borderId="28" xfId="0" applyBorder="1"/>
    <xf numFmtId="0" fontId="15" fillId="2" borderId="0" xfId="0" applyFont="1" applyFill="1"/>
    <xf numFmtId="0" fontId="0" fillId="0" borderId="28" xfId="0" applyBorder="1" applyAlignment="1">
      <alignment horizontal="center"/>
    </xf>
    <xf numFmtId="0" fontId="0" fillId="4" borderId="28" xfId="0" applyFill="1" applyBorder="1"/>
    <xf numFmtId="0" fontId="4" fillId="4" borderId="28" xfId="0" quotePrefix="1" applyFont="1" applyFill="1" applyBorder="1"/>
    <xf numFmtId="41" fontId="0" fillId="0" borderId="28" xfId="1" applyFont="1" applyBorder="1" applyAlignment="1"/>
    <xf numFmtId="0" fontId="0" fillId="0" borderId="13" xfId="0" applyBorder="1"/>
    <xf numFmtId="41" fontId="0" fillId="3" borderId="0" xfId="1" applyFont="1" applyFill="1" applyAlignment="1"/>
  </cellXfs>
  <cellStyles count="3">
    <cellStyle name="백분율" xfId="2" builtinId="5"/>
    <cellStyle name="쉼표 [0]" xfId="1" builtinId="6"/>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B2"/>
  <sheetViews>
    <sheetView workbookViewId="0">
      <selection activeCell="C23" sqref="C23"/>
    </sheetView>
  </sheetViews>
  <sheetFormatPr defaultRowHeight="17.399999999999999" x14ac:dyDescent="0.4"/>
  <sheetData>
    <row r="2" spans="1:2" x14ac:dyDescent="0.4">
      <c r="A2" t="s">
        <v>1065</v>
      </c>
      <c r="B2" t="s">
        <v>1064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H56"/>
  <sheetViews>
    <sheetView tabSelected="1" topLeftCell="A22" zoomScale="70" zoomScaleNormal="70" workbookViewId="0">
      <selection activeCell="B52" sqref="B52"/>
    </sheetView>
  </sheetViews>
  <sheetFormatPr defaultRowHeight="17.399999999999999" x14ac:dyDescent="0.4"/>
  <cols>
    <col min="2" max="2" width="28.5" customWidth="1"/>
    <col min="3" max="3" width="31.3984375" customWidth="1"/>
    <col min="4" max="4" width="15" bestFit="1" customWidth="1"/>
    <col min="5" max="5" width="34.59765625" bestFit="1" customWidth="1"/>
    <col min="6" max="6" width="21.296875" bestFit="1" customWidth="1"/>
    <col min="7" max="7" width="17.8984375" customWidth="1"/>
    <col min="8" max="8" width="21.69921875" customWidth="1"/>
    <col min="13" max="13" width="35.59765625" customWidth="1"/>
  </cols>
  <sheetData>
    <row r="2" spans="1:7" s="2" customFormat="1" x14ac:dyDescent="0.4">
      <c r="A2" s="91" t="s">
        <v>1215</v>
      </c>
    </row>
    <row r="3" spans="1:7" x14ac:dyDescent="0.4">
      <c r="A3" s="37"/>
      <c r="B3" s="37"/>
    </row>
    <row r="4" spans="1:7" x14ac:dyDescent="0.4">
      <c r="B4" t="s">
        <v>1066</v>
      </c>
    </row>
    <row r="5" spans="1:7" x14ac:dyDescent="0.4">
      <c r="B5" t="s">
        <v>1109</v>
      </c>
    </row>
    <row r="6" spans="1:7" x14ac:dyDescent="0.4">
      <c r="B6" t="s">
        <v>1132</v>
      </c>
    </row>
    <row r="7" spans="1:7" x14ac:dyDescent="0.4">
      <c r="B7" t="s">
        <v>1155</v>
      </c>
      <c r="C7" t="s">
        <v>1156</v>
      </c>
      <c r="D7" t="s">
        <v>1184</v>
      </c>
      <c r="E7" t="s">
        <v>1199</v>
      </c>
    </row>
    <row r="9" spans="1:7" s="2" customFormat="1" x14ac:dyDescent="0.4">
      <c r="A9" s="91" t="s">
        <v>1216</v>
      </c>
    </row>
    <row r="11" spans="1:7" x14ac:dyDescent="0.4">
      <c r="G11" t="s">
        <v>1079</v>
      </c>
    </row>
    <row r="12" spans="1:7" x14ac:dyDescent="0.4">
      <c r="G12" t="s">
        <v>1088</v>
      </c>
    </row>
    <row r="13" spans="1:7" x14ac:dyDescent="0.4">
      <c r="G13" t="s">
        <v>1221</v>
      </c>
    </row>
    <row r="14" spans="1:7" x14ac:dyDescent="0.4">
      <c r="G14" t="s">
        <v>1101</v>
      </c>
    </row>
    <row r="15" spans="1:7" x14ac:dyDescent="0.4">
      <c r="G15" t="s">
        <v>1198</v>
      </c>
    </row>
    <row r="17" spans="1:8" s="2" customFormat="1" x14ac:dyDescent="0.4">
      <c r="A17" s="91" t="s">
        <v>1217</v>
      </c>
    </row>
    <row r="18" spans="1:8" x14ac:dyDescent="0.4">
      <c r="A18" s="37"/>
    </row>
    <row r="19" spans="1:8" x14ac:dyDescent="0.4">
      <c r="B19" s="90" t="s">
        <v>1067</v>
      </c>
      <c r="C19" s="90" t="s">
        <v>1068</v>
      </c>
      <c r="D19" s="90" t="s">
        <v>1069</v>
      </c>
      <c r="E19" s="90" t="s">
        <v>1070</v>
      </c>
      <c r="F19" s="90" t="s">
        <v>1071</v>
      </c>
      <c r="G19" s="90" t="s">
        <v>1072</v>
      </c>
      <c r="H19" s="90" t="s">
        <v>1073</v>
      </c>
    </row>
    <row r="20" spans="1:8" x14ac:dyDescent="0.4">
      <c r="B20" t="s">
        <v>1074</v>
      </c>
      <c r="C20" t="s">
        <v>1075</v>
      </c>
      <c r="D20" t="s">
        <v>1076</v>
      </c>
      <c r="E20" t="s">
        <v>1077</v>
      </c>
      <c r="F20" t="s">
        <v>1078</v>
      </c>
      <c r="G20" t="s">
        <v>1079</v>
      </c>
      <c r="H20" t="s">
        <v>1080</v>
      </c>
    </row>
    <row r="21" spans="1:8" x14ac:dyDescent="0.4">
      <c r="B21" t="s">
        <v>1074</v>
      </c>
      <c r="C21" t="s">
        <v>1081</v>
      </c>
      <c r="D21" t="s">
        <v>1082</v>
      </c>
      <c r="E21" t="s">
        <v>742</v>
      </c>
      <c r="F21" t="s">
        <v>1083</v>
      </c>
      <c r="G21" t="s">
        <v>1079</v>
      </c>
      <c r="H21" t="s">
        <v>1084</v>
      </c>
    </row>
    <row r="22" spans="1:8" x14ac:dyDescent="0.4">
      <c r="B22" t="s">
        <v>1074</v>
      </c>
      <c r="C22" t="s">
        <v>1085</v>
      </c>
      <c r="D22" t="s">
        <v>50</v>
      </c>
      <c r="E22" t="s">
        <v>1086</v>
      </c>
      <c r="F22" t="s">
        <v>1087</v>
      </c>
      <c r="G22" t="s">
        <v>1088</v>
      </c>
      <c r="H22" s="9">
        <v>3000000000</v>
      </c>
    </row>
    <row r="23" spans="1:8" x14ac:dyDescent="0.4">
      <c r="B23" t="s">
        <v>1074</v>
      </c>
      <c r="C23" t="s">
        <v>1089</v>
      </c>
      <c r="D23" t="s">
        <v>54</v>
      </c>
      <c r="E23" t="s">
        <v>33</v>
      </c>
      <c r="F23" t="s">
        <v>1090</v>
      </c>
      <c r="G23" t="s">
        <v>1079</v>
      </c>
      <c r="H23" t="s">
        <v>1091</v>
      </c>
    </row>
    <row r="24" spans="1:8" x14ac:dyDescent="0.4">
      <c r="B24" t="s">
        <v>1074</v>
      </c>
      <c r="C24" t="s">
        <v>1092</v>
      </c>
      <c r="D24" t="s">
        <v>58</v>
      </c>
      <c r="E24" t="s">
        <v>1093</v>
      </c>
      <c r="F24" t="s">
        <v>1094</v>
      </c>
      <c r="G24" t="s">
        <v>1220</v>
      </c>
      <c r="H24">
        <v>7.8</v>
      </c>
    </row>
    <row r="25" spans="1:8" x14ac:dyDescent="0.4">
      <c r="B25" t="s">
        <v>1074</v>
      </c>
      <c r="C25" t="s">
        <v>1095</v>
      </c>
      <c r="D25" t="s">
        <v>626</v>
      </c>
      <c r="E25" t="s">
        <v>1096</v>
      </c>
      <c r="F25" t="s">
        <v>1097</v>
      </c>
      <c r="G25" t="s">
        <v>1088</v>
      </c>
      <c r="H25">
        <v>24</v>
      </c>
    </row>
    <row r="26" spans="1:8" x14ac:dyDescent="0.4">
      <c r="B26" t="s">
        <v>1074</v>
      </c>
      <c r="C26" t="s">
        <v>1098</v>
      </c>
      <c r="D26" t="s">
        <v>68</v>
      </c>
      <c r="E26" t="s">
        <v>1099</v>
      </c>
      <c r="F26" t="s">
        <v>1100</v>
      </c>
      <c r="G26" t="s">
        <v>1101</v>
      </c>
      <c r="H26" s="13">
        <v>45474</v>
      </c>
    </row>
    <row r="27" spans="1:8" x14ac:dyDescent="0.4">
      <c r="B27" t="s">
        <v>1074</v>
      </c>
      <c r="C27" t="s">
        <v>1102</v>
      </c>
      <c r="D27" t="s">
        <v>1103</v>
      </c>
      <c r="E27" t="s">
        <v>1104</v>
      </c>
      <c r="F27" t="s">
        <v>1105</v>
      </c>
      <c r="G27" t="s">
        <v>1088</v>
      </c>
      <c r="H27" s="9">
        <v>120000000000</v>
      </c>
    </row>
    <row r="28" spans="1:8" x14ac:dyDescent="0.4">
      <c r="B28" t="s">
        <v>1074</v>
      </c>
      <c r="C28" t="s">
        <v>1106</v>
      </c>
      <c r="D28" t="s">
        <v>674</v>
      </c>
      <c r="E28" t="s">
        <v>1107</v>
      </c>
      <c r="F28" t="s">
        <v>1108</v>
      </c>
      <c r="G28" t="s">
        <v>1220</v>
      </c>
      <c r="H28">
        <v>7.5</v>
      </c>
    </row>
    <row r="29" spans="1:8" x14ac:dyDescent="0.4">
      <c r="B29" t="s">
        <v>1110</v>
      </c>
      <c r="C29" t="s">
        <v>1111</v>
      </c>
      <c r="D29" t="s">
        <v>183</v>
      </c>
      <c r="E29" t="s">
        <v>1112</v>
      </c>
      <c r="F29" t="s">
        <v>1113</v>
      </c>
      <c r="G29" t="s">
        <v>1101</v>
      </c>
      <c r="H29" s="13">
        <v>41715</v>
      </c>
    </row>
    <row r="30" spans="1:8" x14ac:dyDescent="0.4">
      <c r="B30" t="s">
        <v>1110</v>
      </c>
      <c r="C30" t="s">
        <v>1218</v>
      </c>
      <c r="D30" t="s">
        <v>1114</v>
      </c>
      <c r="E30" t="s">
        <v>1115</v>
      </c>
      <c r="F30" t="s">
        <v>1116</v>
      </c>
      <c r="G30" t="s">
        <v>1079</v>
      </c>
      <c r="H30" t="s">
        <v>1117</v>
      </c>
    </row>
    <row r="31" spans="1:8" x14ac:dyDescent="0.4">
      <c r="B31" t="s">
        <v>1110</v>
      </c>
      <c r="C31" t="s">
        <v>1219</v>
      </c>
      <c r="D31" t="s">
        <v>1118</v>
      </c>
      <c r="E31" t="s">
        <v>191</v>
      </c>
      <c r="F31" t="s">
        <v>1119</v>
      </c>
      <c r="G31" t="s">
        <v>1079</v>
      </c>
      <c r="H31" t="s">
        <v>1120</v>
      </c>
    </row>
    <row r="32" spans="1:8" x14ac:dyDescent="0.4">
      <c r="B32" t="s">
        <v>1110</v>
      </c>
      <c r="C32" t="s">
        <v>1121</v>
      </c>
      <c r="D32" t="s">
        <v>258</v>
      </c>
      <c r="E32" t="s">
        <v>648</v>
      </c>
      <c r="F32" t="s">
        <v>1122</v>
      </c>
      <c r="G32" t="s">
        <v>1088</v>
      </c>
      <c r="H32" s="9">
        <v>2000000000</v>
      </c>
    </row>
    <row r="33" spans="2:8" x14ac:dyDescent="0.4">
      <c r="B33" t="s">
        <v>1110</v>
      </c>
      <c r="C33" t="s">
        <v>1123</v>
      </c>
      <c r="D33" t="s">
        <v>1124</v>
      </c>
      <c r="E33" t="s">
        <v>1125</v>
      </c>
      <c r="F33" t="s">
        <v>1126</v>
      </c>
      <c r="G33" t="s">
        <v>1088</v>
      </c>
      <c r="H33">
        <v>42</v>
      </c>
    </row>
    <row r="34" spans="2:8" x14ac:dyDescent="0.4">
      <c r="B34" t="s">
        <v>1110</v>
      </c>
      <c r="C34" t="s">
        <v>1127</v>
      </c>
      <c r="D34" t="s">
        <v>1128</v>
      </c>
      <c r="E34" t="s">
        <v>1129</v>
      </c>
      <c r="F34" t="s">
        <v>1130</v>
      </c>
      <c r="G34" t="s">
        <v>1079</v>
      </c>
      <c r="H34" t="s">
        <v>1131</v>
      </c>
    </row>
    <row r="35" spans="2:8" x14ac:dyDescent="0.4">
      <c r="B35" t="s">
        <v>1133</v>
      </c>
      <c r="C35" t="s">
        <v>1134</v>
      </c>
      <c r="D35" t="s">
        <v>1135</v>
      </c>
      <c r="E35" t="s">
        <v>1136</v>
      </c>
      <c r="F35" t="s">
        <v>1137</v>
      </c>
      <c r="G35" t="s">
        <v>1079</v>
      </c>
      <c r="H35" t="s">
        <v>750</v>
      </c>
    </row>
    <row r="36" spans="2:8" x14ac:dyDescent="0.4">
      <c r="B36" t="s">
        <v>1133</v>
      </c>
      <c r="C36" t="s">
        <v>1138</v>
      </c>
      <c r="D36" t="s">
        <v>1139</v>
      </c>
      <c r="E36" t="s">
        <v>1140</v>
      </c>
      <c r="F36" t="s">
        <v>1141</v>
      </c>
      <c r="G36" t="s">
        <v>1220</v>
      </c>
      <c r="H36">
        <v>55</v>
      </c>
    </row>
    <row r="37" spans="2:8" x14ac:dyDescent="0.4">
      <c r="B37" t="s">
        <v>1133</v>
      </c>
      <c r="C37" t="s">
        <v>1142</v>
      </c>
      <c r="D37" t="s">
        <v>1143</v>
      </c>
      <c r="E37" t="s">
        <v>1144</v>
      </c>
      <c r="F37" t="s">
        <v>1145</v>
      </c>
      <c r="G37" t="s">
        <v>1079</v>
      </c>
      <c r="H37" t="s">
        <v>1146</v>
      </c>
    </row>
    <row r="38" spans="2:8" x14ac:dyDescent="0.4">
      <c r="B38" t="s">
        <v>1133</v>
      </c>
      <c r="C38" t="s">
        <v>1147</v>
      </c>
      <c r="D38" t="s">
        <v>1148</v>
      </c>
      <c r="E38" t="s">
        <v>1149</v>
      </c>
      <c r="F38" t="s">
        <v>1150</v>
      </c>
      <c r="G38" t="s">
        <v>1220</v>
      </c>
      <c r="H38">
        <v>25</v>
      </c>
    </row>
    <row r="39" spans="2:8" x14ac:dyDescent="0.4">
      <c r="B39" t="s">
        <v>1133</v>
      </c>
      <c r="C39" t="s">
        <v>1151</v>
      </c>
      <c r="D39" t="s">
        <v>1152</v>
      </c>
      <c r="E39" t="s">
        <v>1153</v>
      </c>
      <c r="F39" t="s">
        <v>1154</v>
      </c>
      <c r="G39" t="s">
        <v>1220</v>
      </c>
      <c r="H39">
        <v>20</v>
      </c>
    </row>
    <row r="40" spans="2:8" x14ac:dyDescent="0.4">
      <c r="B40" t="s">
        <v>1156</v>
      </c>
      <c r="C40" t="s">
        <v>1157</v>
      </c>
      <c r="D40" t="s">
        <v>247</v>
      </c>
      <c r="E40" t="s">
        <v>1158</v>
      </c>
      <c r="F40" t="s">
        <v>1159</v>
      </c>
      <c r="G40" t="s">
        <v>1088</v>
      </c>
      <c r="H40" s="9">
        <v>189454</v>
      </c>
    </row>
    <row r="41" spans="2:8" x14ac:dyDescent="0.4">
      <c r="B41" t="s">
        <v>1156</v>
      </c>
      <c r="C41" t="s">
        <v>1160</v>
      </c>
      <c r="D41" t="s">
        <v>261</v>
      </c>
      <c r="E41" t="s">
        <v>1161</v>
      </c>
      <c r="F41" t="s">
        <v>1162</v>
      </c>
      <c r="G41" t="s">
        <v>1088</v>
      </c>
      <c r="H41" s="9">
        <v>4679</v>
      </c>
    </row>
    <row r="42" spans="2:8" x14ac:dyDescent="0.4">
      <c r="B42" t="s">
        <v>1156</v>
      </c>
      <c r="C42" t="s">
        <v>1163</v>
      </c>
      <c r="D42" t="s">
        <v>567</v>
      </c>
      <c r="E42" t="s">
        <v>1164</v>
      </c>
      <c r="F42" t="s">
        <v>1165</v>
      </c>
      <c r="G42" t="s">
        <v>1088</v>
      </c>
      <c r="H42" s="9">
        <v>182577</v>
      </c>
    </row>
    <row r="43" spans="2:8" x14ac:dyDescent="0.4">
      <c r="B43" t="s">
        <v>1156</v>
      </c>
      <c r="C43" t="s">
        <v>1166</v>
      </c>
      <c r="D43" t="s">
        <v>269</v>
      </c>
      <c r="E43" t="s">
        <v>1167</v>
      </c>
      <c r="F43" t="s">
        <v>1168</v>
      </c>
      <c r="G43" t="s">
        <v>1088</v>
      </c>
      <c r="H43" s="9">
        <v>-8673</v>
      </c>
    </row>
    <row r="44" spans="2:8" x14ac:dyDescent="0.4">
      <c r="B44" t="s">
        <v>1156</v>
      </c>
      <c r="C44" t="s">
        <v>1169</v>
      </c>
      <c r="D44" t="s">
        <v>569</v>
      </c>
      <c r="E44" t="s">
        <v>1170</v>
      </c>
      <c r="F44" t="s">
        <v>1171</v>
      </c>
      <c r="G44" t="s">
        <v>1088</v>
      </c>
      <c r="H44" s="9">
        <v>10871</v>
      </c>
    </row>
    <row r="45" spans="2:8" x14ac:dyDescent="0.4">
      <c r="B45" t="s">
        <v>1156</v>
      </c>
      <c r="C45" t="s">
        <v>1172</v>
      </c>
      <c r="D45" t="s">
        <v>251</v>
      </c>
      <c r="E45" t="s">
        <v>1173</v>
      </c>
      <c r="F45" t="s">
        <v>1174</v>
      </c>
      <c r="G45" t="s">
        <v>1088</v>
      </c>
      <c r="H45" s="9">
        <v>168842</v>
      </c>
    </row>
    <row r="46" spans="2:8" x14ac:dyDescent="0.4">
      <c r="B46" t="s">
        <v>1156</v>
      </c>
      <c r="C46" t="s">
        <v>1175</v>
      </c>
      <c r="D46" t="s">
        <v>581</v>
      </c>
      <c r="E46" t="s">
        <v>1176</v>
      </c>
      <c r="F46" t="s">
        <v>1177</v>
      </c>
      <c r="G46" t="s">
        <v>1088</v>
      </c>
      <c r="H46" s="9">
        <v>165498</v>
      </c>
    </row>
    <row r="47" spans="2:8" x14ac:dyDescent="0.4">
      <c r="B47" t="s">
        <v>1156</v>
      </c>
      <c r="C47" t="s">
        <v>1178</v>
      </c>
      <c r="D47" t="s">
        <v>570</v>
      </c>
      <c r="E47" t="s">
        <v>1179</v>
      </c>
      <c r="F47" t="s">
        <v>1180</v>
      </c>
      <c r="G47" t="s">
        <v>1088</v>
      </c>
      <c r="H47" s="9">
        <v>3344</v>
      </c>
    </row>
    <row r="48" spans="2:8" x14ac:dyDescent="0.4">
      <c r="B48" t="s">
        <v>1156</v>
      </c>
      <c r="C48" t="s">
        <v>1181</v>
      </c>
      <c r="D48" t="s">
        <v>254</v>
      </c>
      <c r="E48" t="s">
        <v>1182</v>
      </c>
      <c r="F48" t="s">
        <v>1183</v>
      </c>
      <c r="G48" t="s">
        <v>1088</v>
      </c>
      <c r="H48" s="9">
        <v>20612</v>
      </c>
    </row>
    <row r="49" spans="2:8" x14ac:dyDescent="0.4">
      <c r="B49" t="s">
        <v>1184</v>
      </c>
      <c r="C49" t="s">
        <v>1185</v>
      </c>
      <c r="D49" t="s">
        <v>584</v>
      </c>
      <c r="E49" t="s">
        <v>1186</v>
      </c>
      <c r="F49" t="s">
        <v>1187</v>
      </c>
      <c r="G49" t="s">
        <v>1088</v>
      </c>
      <c r="H49" s="9">
        <v>16776</v>
      </c>
    </row>
    <row r="50" spans="2:8" x14ac:dyDescent="0.4">
      <c r="B50" t="s">
        <v>1184</v>
      </c>
      <c r="C50" t="s">
        <v>1188</v>
      </c>
      <c r="D50" t="s">
        <v>289</v>
      </c>
      <c r="E50" t="s">
        <v>1189</v>
      </c>
      <c r="F50" t="s">
        <v>1190</v>
      </c>
      <c r="G50" t="s">
        <v>1088</v>
      </c>
      <c r="H50" s="9">
        <v>2150</v>
      </c>
    </row>
    <row r="51" spans="2:8" x14ac:dyDescent="0.4">
      <c r="B51" t="s">
        <v>1184</v>
      </c>
      <c r="C51" t="s">
        <v>1191</v>
      </c>
      <c r="D51" t="s">
        <v>292</v>
      </c>
      <c r="E51" t="s">
        <v>1192</v>
      </c>
      <c r="F51" t="s">
        <v>1193</v>
      </c>
      <c r="G51" t="s">
        <v>1088</v>
      </c>
      <c r="H51" s="9">
        <v>1580</v>
      </c>
    </row>
    <row r="52" spans="2:8" x14ac:dyDescent="0.4">
      <c r="B52" t="s">
        <v>1184</v>
      </c>
      <c r="C52" t="s">
        <v>1194</v>
      </c>
      <c r="D52" t="s">
        <v>1195</v>
      </c>
      <c r="E52" t="s">
        <v>1196</v>
      </c>
      <c r="F52" t="s">
        <v>1197</v>
      </c>
      <c r="G52" t="s">
        <v>1198</v>
      </c>
      <c r="H52">
        <v>0</v>
      </c>
    </row>
    <row r="53" spans="2:8" x14ac:dyDescent="0.4">
      <c r="B53" t="s">
        <v>1199</v>
      </c>
      <c r="C53" t="s">
        <v>1200</v>
      </c>
      <c r="D53" t="s">
        <v>1201</v>
      </c>
      <c r="E53" t="s">
        <v>1202</v>
      </c>
      <c r="F53" t="s">
        <v>1203</v>
      </c>
      <c r="G53" t="s">
        <v>1220</v>
      </c>
      <c r="H53">
        <v>115.3</v>
      </c>
    </row>
    <row r="54" spans="2:8" x14ac:dyDescent="0.4">
      <c r="B54" t="s">
        <v>1199</v>
      </c>
      <c r="C54" t="s">
        <v>1204</v>
      </c>
      <c r="D54" t="s">
        <v>1205</v>
      </c>
      <c r="E54" t="s">
        <v>1206</v>
      </c>
      <c r="F54" t="s">
        <v>1207</v>
      </c>
      <c r="G54" t="s">
        <v>1220</v>
      </c>
      <c r="H54">
        <v>820.1</v>
      </c>
    </row>
    <row r="55" spans="2:8" x14ac:dyDescent="0.4">
      <c r="B55" t="s">
        <v>1199</v>
      </c>
      <c r="C55" t="s">
        <v>1208</v>
      </c>
      <c r="D55" t="s">
        <v>1209</v>
      </c>
      <c r="E55" t="s">
        <v>1210</v>
      </c>
      <c r="F55" t="s">
        <v>1211</v>
      </c>
      <c r="G55" t="s">
        <v>1220</v>
      </c>
      <c r="H55">
        <v>7.7</v>
      </c>
    </row>
    <row r="56" spans="2:8" x14ac:dyDescent="0.4">
      <c r="B56" t="s">
        <v>1199</v>
      </c>
      <c r="C56" t="s">
        <v>1212</v>
      </c>
      <c r="D56" t="s">
        <v>695</v>
      </c>
      <c r="E56" t="s">
        <v>1213</v>
      </c>
      <c r="F56" t="s">
        <v>1214</v>
      </c>
      <c r="G56" t="s">
        <v>1220</v>
      </c>
      <c r="H56">
        <v>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election activeCell="E16" sqref="E16"/>
    </sheetView>
  </sheetViews>
  <sheetFormatPr defaultRowHeight="17.399999999999999" x14ac:dyDescent="0.4"/>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
  <sheetViews>
    <sheetView workbookViewId="0">
      <selection activeCell="H13" sqref="H13"/>
    </sheetView>
  </sheetViews>
  <sheetFormatPr defaultRowHeight="17.399999999999999" x14ac:dyDescent="0.4"/>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zoomScale="85" zoomScaleNormal="85" workbookViewId="0">
      <selection activeCell="I23" sqref="I23"/>
    </sheetView>
  </sheetViews>
  <sheetFormatPr defaultRowHeight="17.399999999999999" x14ac:dyDescent="0.4"/>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
  <sheetViews>
    <sheetView workbookViewId="0"/>
  </sheetViews>
  <sheetFormatPr defaultRowHeight="17.399999999999999" x14ac:dyDescent="0.4"/>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522"/>
  <sheetViews>
    <sheetView topLeftCell="A40" zoomScale="55" zoomScaleNormal="55" workbookViewId="0">
      <selection activeCell="D85" sqref="D85"/>
    </sheetView>
  </sheetViews>
  <sheetFormatPr defaultRowHeight="17.399999999999999" x14ac:dyDescent="0.4"/>
  <cols>
    <col min="1" max="1" width="16.796875" customWidth="1"/>
    <col min="2" max="2" width="8.796875" style="4"/>
    <col min="3" max="3" width="26.3984375" style="4" customWidth="1"/>
    <col min="4" max="4" width="37.796875" style="4" customWidth="1"/>
    <col min="5" max="5" width="22.3984375" customWidth="1"/>
    <col min="6" max="10" width="19.796875" customWidth="1"/>
    <col min="11" max="11" width="19.796875" style="4" customWidth="1"/>
    <col min="12" max="17" width="19.796875" customWidth="1"/>
    <col min="18" max="18" width="14.59765625" customWidth="1"/>
  </cols>
  <sheetData>
    <row r="1" spans="1:10" x14ac:dyDescent="0.4">
      <c r="E1" t="s">
        <v>1062</v>
      </c>
    </row>
    <row r="4" spans="1:10" x14ac:dyDescent="0.4">
      <c r="A4" s="10" t="s">
        <v>1267</v>
      </c>
      <c r="B4" s="92" t="s">
        <v>1224</v>
      </c>
      <c r="C4" s="92" t="s">
        <v>1222</v>
      </c>
      <c r="D4" s="92" t="s">
        <v>1223</v>
      </c>
      <c r="E4" s="94" t="s">
        <v>1227</v>
      </c>
      <c r="F4" s="93"/>
      <c r="G4" s="93"/>
      <c r="H4" s="93"/>
      <c r="I4" s="93"/>
      <c r="J4" s="93"/>
    </row>
    <row r="5" spans="1:10" x14ac:dyDescent="0.4">
      <c r="A5" s="10"/>
      <c r="B5" s="4" t="s">
        <v>1225</v>
      </c>
      <c r="C5" s="4">
        <v>1</v>
      </c>
      <c r="D5" s="4" t="s">
        <v>1226</v>
      </c>
      <c r="E5" s="46" t="s">
        <v>861</v>
      </c>
    </row>
    <row r="6" spans="1:10" ht="18" thickBot="1" x14ac:dyDescent="0.45">
      <c r="A6" s="10"/>
      <c r="E6" s="46"/>
    </row>
    <row r="7" spans="1:10" ht="18" thickBot="1" x14ac:dyDescent="0.45">
      <c r="A7" s="10"/>
      <c r="E7" s="22" t="s">
        <v>726</v>
      </c>
      <c r="F7" s="96" t="s">
        <v>862</v>
      </c>
      <c r="G7" s="22" t="s">
        <v>863</v>
      </c>
      <c r="H7" s="96" t="s">
        <v>1061</v>
      </c>
    </row>
    <row r="8" spans="1:10" ht="18" thickBot="1" x14ac:dyDescent="0.45">
      <c r="A8" s="10"/>
      <c r="E8" s="22" t="s">
        <v>50</v>
      </c>
      <c r="F8" s="96" t="s">
        <v>865</v>
      </c>
      <c r="G8" s="22" t="s">
        <v>54</v>
      </c>
      <c r="H8" s="96" t="s">
        <v>866</v>
      </c>
    </row>
    <row r="9" spans="1:10" x14ac:dyDescent="0.4">
      <c r="A9" s="10"/>
      <c r="E9" t="s">
        <v>58</v>
      </c>
      <c r="F9">
        <v>7.8E-2</v>
      </c>
      <c r="G9" t="s">
        <v>626</v>
      </c>
      <c r="H9" t="s">
        <v>867</v>
      </c>
    </row>
    <row r="10" spans="1:10" x14ac:dyDescent="0.4">
      <c r="A10" s="10"/>
      <c r="E10" t="s">
        <v>68</v>
      </c>
      <c r="F10" t="s">
        <v>868</v>
      </c>
      <c r="G10" t="s">
        <v>869</v>
      </c>
      <c r="H10" t="s">
        <v>871</v>
      </c>
    </row>
    <row r="11" spans="1:10" x14ac:dyDescent="0.4">
      <c r="A11" s="10"/>
      <c r="G11" t="s">
        <v>870</v>
      </c>
    </row>
    <row r="12" spans="1:10" x14ac:dyDescent="0.4">
      <c r="A12" s="10"/>
      <c r="E12" t="s">
        <v>564</v>
      </c>
      <c r="F12" t="s">
        <v>15</v>
      </c>
      <c r="G12" t="s">
        <v>872</v>
      </c>
      <c r="H12">
        <v>0.01</v>
      </c>
    </row>
    <row r="13" spans="1:10" x14ac:dyDescent="0.4">
      <c r="A13" s="10"/>
      <c r="E13" t="s">
        <v>83</v>
      </c>
      <c r="F13" t="s">
        <v>873</v>
      </c>
      <c r="G13" t="s">
        <v>874</v>
      </c>
      <c r="H13" t="s">
        <v>875</v>
      </c>
    </row>
    <row r="14" spans="1:10" x14ac:dyDescent="0.4">
      <c r="A14" s="10"/>
      <c r="E14" t="s">
        <v>565</v>
      </c>
      <c r="F14" t="s">
        <v>876</v>
      </c>
    </row>
    <row r="15" spans="1:10" x14ac:dyDescent="0.4">
      <c r="A15" s="10"/>
      <c r="E15" t="s">
        <v>566</v>
      </c>
      <c r="F15" t="s">
        <v>877</v>
      </c>
    </row>
    <row r="16" spans="1:10" x14ac:dyDescent="0.4">
      <c r="A16" s="10"/>
      <c r="F16" t="s">
        <v>878</v>
      </c>
    </row>
    <row r="17" spans="1:11" x14ac:dyDescent="0.4">
      <c r="A17" s="10"/>
      <c r="E17" t="s">
        <v>879</v>
      </c>
      <c r="F17" t="s">
        <v>880</v>
      </c>
    </row>
    <row r="18" spans="1:11" x14ac:dyDescent="0.4">
      <c r="A18" s="10"/>
      <c r="F18" t="s">
        <v>881</v>
      </c>
    </row>
    <row r="19" spans="1:11" x14ac:dyDescent="0.4">
      <c r="A19" s="10"/>
      <c r="F19" t="s">
        <v>882</v>
      </c>
    </row>
    <row r="20" spans="1:11" x14ac:dyDescent="0.4">
      <c r="A20" s="10"/>
      <c r="F20" t="s">
        <v>883</v>
      </c>
    </row>
    <row r="21" spans="1:11" x14ac:dyDescent="0.4">
      <c r="A21" s="10"/>
    </row>
    <row r="22" spans="1:11" x14ac:dyDescent="0.4">
      <c r="A22" s="10"/>
      <c r="B22" s="4" t="s">
        <v>1231</v>
      </c>
      <c r="C22" s="4">
        <v>2</v>
      </c>
      <c r="D22" s="4" t="s">
        <v>884</v>
      </c>
      <c r="K22"/>
    </row>
    <row r="23" spans="1:11" x14ac:dyDescent="0.4">
      <c r="A23" s="10"/>
      <c r="E23" t="s">
        <v>618</v>
      </c>
      <c r="F23" t="s">
        <v>885</v>
      </c>
      <c r="H23" t="s">
        <v>618</v>
      </c>
      <c r="I23" t="s">
        <v>887</v>
      </c>
      <c r="J23" t="s">
        <v>749</v>
      </c>
      <c r="K23"/>
    </row>
    <row r="24" spans="1:11" ht="18" thickBot="1" x14ac:dyDescent="0.45">
      <c r="A24" s="10"/>
      <c r="F24" t="s">
        <v>886</v>
      </c>
      <c r="I24" t="s">
        <v>888</v>
      </c>
      <c r="K24"/>
    </row>
    <row r="25" spans="1:11" ht="18" thickBot="1" x14ac:dyDescent="0.45">
      <c r="A25" s="10"/>
      <c r="E25" s="22" t="s">
        <v>258</v>
      </c>
      <c r="F25" s="96" t="s">
        <v>889</v>
      </c>
      <c r="H25" s="22" t="s">
        <v>258</v>
      </c>
      <c r="I25" s="96" t="s">
        <v>889</v>
      </c>
      <c r="J25" t="s">
        <v>15</v>
      </c>
      <c r="K25"/>
    </row>
    <row r="26" spans="1:11" x14ac:dyDescent="0.4">
      <c r="A26" s="10"/>
      <c r="E26" t="s">
        <v>890</v>
      </c>
      <c r="F26" t="s">
        <v>891</v>
      </c>
      <c r="H26" t="s">
        <v>890</v>
      </c>
      <c r="I26" t="s">
        <v>892</v>
      </c>
      <c r="J26" t="s">
        <v>893</v>
      </c>
      <c r="K26"/>
    </row>
    <row r="27" spans="1:11" ht="18" thickBot="1" x14ac:dyDescent="0.45">
      <c r="A27" s="10"/>
      <c r="E27" t="s">
        <v>567</v>
      </c>
      <c r="F27" t="s">
        <v>894</v>
      </c>
      <c r="H27" t="s">
        <v>567</v>
      </c>
      <c r="I27" t="s">
        <v>895</v>
      </c>
      <c r="J27" t="s">
        <v>896</v>
      </c>
      <c r="K27"/>
    </row>
    <row r="28" spans="1:11" ht="18" thickBot="1" x14ac:dyDescent="0.45">
      <c r="A28" s="10"/>
      <c r="E28" s="22" t="s">
        <v>897</v>
      </c>
      <c r="F28" s="96" t="s">
        <v>898</v>
      </c>
      <c r="H28" t="s">
        <v>897</v>
      </c>
      <c r="I28" t="s">
        <v>899</v>
      </c>
      <c r="J28" t="s">
        <v>15</v>
      </c>
      <c r="K28"/>
    </row>
    <row r="29" spans="1:11" x14ac:dyDescent="0.4">
      <c r="A29" s="10"/>
      <c r="E29" t="s">
        <v>900</v>
      </c>
      <c r="F29" t="s">
        <v>901</v>
      </c>
      <c r="H29" t="s">
        <v>900</v>
      </c>
      <c r="I29" t="s">
        <v>899</v>
      </c>
      <c r="J29" t="s">
        <v>15</v>
      </c>
      <c r="K29"/>
    </row>
    <row r="30" spans="1:11" x14ac:dyDescent="0.4">
      <c r="A30" s="10"/>
      <c r="E30" t="s">
        <v>902</v>
      </c>
      <c r="F30" t="s">
        <v>903</v>
      </c>
      <c r="H30" t="s">
        <v>902</v>
      </c>
      <c r="I30" t="s">
        <v>905</v>
      </c>
      <c r="J30" t="s">
        <v>15</v>
      </c>
      <c r="K30"/>
    </row>
    <row r="31" spans="1:11" x14ac:dyDescent="0.4">
      <c r="A31" s="10"/>
      <c r="F31" t="s">
        <v>904</v>
      </c>
      <c r="K31"/>
    </row>
    <row r="32" spans="1:11" x14ac:dyDescent="0.4">
      <c r="A32" s="10"/>
      <c r="E32" t="s">
        <v>906</v>
      </c>
      <c r="H32" t="s">
        <v>906</v>
      </c>
      <c r="K32"/>
    </row>
    <row r="33" spans="1:11" x14ac:dyDescent="0.4">
      <c r="A33" s="10"/>
      <c r="K33"/>
    </row>
    <row r="34" spans="1:11" x14ac:dyDescent="0.4">
      <c r="A34" s="10"/>
      <c r="B34" s="4" t="s">
        <v>1232</v>
      </c>
      <c r="C34" s="4">
        <v>3</v>
      </c>
      <c r="D34" s="4" t="s">
        <v>1228</v>
      </c>
      <c r="E34" s="18" t="s">
        <v>913</v>
      </c>
      <c r="K34"/>
    </row>
    <row r="35" spans="1:11" x14ac:dyDescent="0.4">
      <c r="A35" s="10"/>
      <c r="E35" s="50" t="s">
        <v>907</v>
      </c>
      <c r="K35"/>
    </row>
    <row r="36" spans="1:11" x14ac:dyDescent="0.4">
      <c r="A36" s="10"/>
      <c r="E36" s="50" t="s">
        <v>908</v>
      </c>
      <c r="K36"/>
    </row>
    <row r="37" spans="1:11" x14ac:dyDescent="0.4">
      <c r="A37" s="10"/>
      <c r="E37" s="50" t="s">
        <v>909</v>
      </c>
    </row>
    <row r="38" spans="1:11" x14ac:dyDescent="0.4">
      <c r="A38" s="10"/>
      <c r="E38" s="50" t="s">
        <v>910</v>
      </c>
    </row>
    <row r="39" spans="1:11" x14ac:dyDescent="0.4">
      <c r="A39" s="10"/>
      <c r="E39" s="51" t="s">
        <v>914</v>
      </c>
    </row>
    <row r="40" spans="1:11" x14ac:dyDescent="0.4">
      <c r="A40" s="10"/>
      <c r="E40" s="50" t="s">
        <v>911</v>
      </c>
    </row>
    <row r="41" spans="1:11" x14ac:dyDescent="0.4">
      <c r="A41" s="10"/>
      <c r="E41" s="50" t="s">
        <v>912</v>
      </c>
    </row>
    <row r="42" spans="1:11" x14ac:dyDescent="0.4">
      <c r="A42" s="10"/>
    </row>
    <row r="43" spans="1:11" ht="18" thickBot="1" x14ac:dyDescent="0.45">
      <c r="A43" s="10"/>
      <c r="E43" t="s">
        <v>915</v>
      </c>
    </row>
    <row r="44" spans="1:11" ht="18" thickBot="1" x14ac:dyDescent="0.45">
      <c r="A44" s="10"/>
      <c r="E44" s="22" t="s">
        <v>618</v>
      </c>
      <c r="F44" s="96" t="s">
        <v>916</v>
      </c>
    </row>
    <row r="45" spans="1:11" x14ac:dyDescent="0.4">
      <c r="A45" s="10"/>
      <c r="F45" t="s">
        <v>917</v>
      </c>
    </row>
    <row r="46" spans="1:11" x14ac:dyDescent="0.4">
      <c r="A46" s="10"/>
      <c r="E46" t="s">
        <v>918</v>
      </c>
      <c r="F46" t="s">
        <v>919</v>
      </c>
    </row>
    <row r="47" spans="1:11" x14ac:dyDescent="0.4">
      <c r="A47" s="10"/>
      <c r="F47" t="s">
        <v>920</v>
      </c>
    </row>
    <row r="48" spans="1:11" x14ac:dyDescent="0.4">
      <c r="A48" s="10"/>
      <c r="E48" t="s">
        <v>921</v>
      </c>
      <c r="F48" t="s">
        <v>922</v>
      </c>
    </row>
    <row r="49" spans="1:14" x14ac:dyDescent="0.4">
      <c r="A49" s="10"/>
      <c r="F49" t="s">
        <v>923</v>
      </c>
    </row>
    <row r="50" spans="1:14" x14ac:dyDescent="0.4">
      <c r="A50" s="10"/>
    </row>
    <row r="51" spans="1:14" ht="18" thickBot="1" x14ac:dyDescent="0.45">
      <c r="A51" s="10"/>
    </row>
    <row r="52" spans="1:14" x14ac:dyDescent="0.4">
      <c r="A52" s="10"/>
      <c r="B52" s="4" t="s">
        <v>1230</v>
      </c>
      <c r="C52" s="4">
        <v>4</v>
      </c>
      <c r="D52" s="4" t="s">
        <v>1229</v>
      </c>
      <c r="E52" s="52" t="s">
        <v>594</v>
      </c>
      <c r="F52" s="53" t="s">
        <v>924</v>
      </c>
      <c r="G52" s="53" t="s">
        <v>925</v>
      </c>
      <c r="H52" s="53" t="s">
        <v>387</v>
      </c>
      <c r="I52" s="54" t="s">
        <v>383</v>
      </c>
      <c r="J52" s="55" t="s">
        <v>50</v>
      </c>
      <c r="K52" s="53" t="s">
        <v>380</v>
      </c>
      <c r="L52" s="54" t="s">
        <v>926</v>
      </c>
      <c r="M52" s="54" t="s">
        <v>927</v>
      </c>
      <c r="N52" s="56" t="s">
        <v>928</v>
      </c>
    </row>
    <row r="53" spans="1:14" x14ac:dyDescent="0.4">
      <c r="A53" s="10"/>
      <c r="E53" s="36"/>
      <c r="F53" s="32" t="s">
        <v>930</v>
      </c>
      <c r="G53" s="32" t="s">
        <v>931</v>
      </c>
      <c r="H53" s="32" t="s">
        <v>932</v>
      </c>
      <c r="I53" s="59">
        <v>7.6999999999999999E-2</v>
      </c>
      <c r="J53" s="19">
        <v>1000000000</v>
      </c>
      <c r="K53" s="87" t="s">
        <v>933</v>
      </c>
      <c r="L53" s="48"/>
      <c r="M53" s="48"/>
      <c r="N53" s="49"/>
    </row>
    <row r="54" spans="1:14" x14ac:dyDescent="0.4">
      <c r="A54" s="10"/>
      <c r="E54" s="36"/>
      <c r="F54" s="32" t="s">
        <v>934</v>
      </c>
      <c r="G54" s="32" t="s">
        <v>935</v>
      </c>
      <c r="H54" s="32" t="s">
        <v>936</v>
      </c>
      <c r="I54" s="59">
        <v>7.5999999999999998E-2</v>
      </c>
      <c r="J54" s="19">
        <v>500000000</v>
      </c>
      <c r="K54" s="87" t="s">
        <v>933</v>
      </c>
      <c r="L54" s="48"/>
      <c r="M54" s="48"/>
      <c r="N54" s="49"/>
    </row>
    <row r="55" spans="1:14" x14ac:dyDescent="0.4">
      <c r="A55" s="10"/>
      <c r="E55" s="36"/>
      <c r="F55" s="32" t="s">
        <v>937</v>
      </c>
      <c r="G55" s="32" t="s">
        <v>938</v>
      </c>
      <c r="H55" s="32" t="s">
        <v>939</v>
      </c>
      <c r="I55" s="59">
        <v>7.5999999999999998E-2</v>
      </c>
      <c r="J55" s="19">
        <v>1000000000</v>
      </c>
      <c r="K55" s="87" t="s">
        <v>933</v>
      </c>
      <c r="L55" s="48"/>
      <c r="M55" s="48"/>
      <c r="N55" s="49"/>
    </row>
    <row r="56" spans="1:14" ht="26.4" x14ac:dyDescent="0.4">
      <c r="A56" s="10"/>
      <c r="E56" s="47" t="s">
        <v>929</v>
      </c>
      <c r="F56" s="32" t="s">
        <v>940</v>
      </c>
      <c r="G56" s="32" t="s">
        <v>941</v>
      </c>
      <c r="H56" s="32" t="s">
        <v>942</v>
      </c>
      <c r="I56" s="59">
        <v>7.1999999999999995E-2</v>
      </c>
      <c r="J56" s="19">
        <v>1000000000</v>
      </c>
      <c r="K56" s="87" t="s">
        <v>933</v>
      </c>
      <c r="L56" s="48"/>
      <c r="M56" s="48"/>
      <c r="N56" s="49"/>
    </row>
    <row r="57" spans="1:14" x14ac:dyDescent="0.4">
      <c r="A57" s="10"/>
      <c r="E57" s="57"/>
      <c r="F57" s="32" t="s">
        <v>943</v>
      </c>
      <c r="G57" s="32" t="s">
        <v>944</v>
      </c>
      <c r="H57" s="32" t="s">
        <v>945</v>
      </c>
      <c r="I57" s="59">
        <v>6.8000000000000005E-2</v>
      </c>
      <c r="J57" s="19">
        <v>2000000000</v>
      </c>
      <c r="K57" s="87" t="s">
        <v>933</v>
      </c>
      <c r="L57" s="48"/>
      <c r="M57" s="48"/>
      <c r="N57" s="49"/>
    </row>
    <row r="58" spans="1:14" x14ac:dyDescent="0.4">
      <c r="A58" s="10"/>
      <c r="E58" s="57"/>
      <c r="F58" s="32" t="s">
        <v>946</v>
      </c>
      <c r="G58" s="32" t="s">
        <v>947</v>
      </c>
      <c r="H58" s="32" t="s">
        <v>948</v>
      </c>
      <c r="I58" s="59">
        <v>6.5000000000000002E-2</v>
      </c>
      <c r="J58" s="19">
        <v>1000000000</v>
      </c>
      <c r="K58" s="87" t="s">
        <v>933</v>
      </c>
      <c r="L58" s="48"/>
      <c r="M58" s="48"/>
      <c r="N58" s="49"/>
    </row>
    <row r="59" spans="1:14" x14ac:dyDescent="0.4">
      <c r="A59" s="10"/>
      <c r="E59" s="57"/>
      <c r="F59" s="32" t="s">
        <v>949</v>
      </c>
      <c r="G59" s="32" t="s">
        <v>950</v>
      </c>
      <c r="H59" s="32" t="s">
        <v>951</v>
      </c>
      <c r="I59" s="59">
        <v>6.3E-2</v>
      </c>
      <c r="J59" s="19">
        <v>2000000000</v>
      </c>
      <c r="K59" s="87" t="s">
        <v>933</v>
      </c>
      <c r="L59" s="48"/>
      <c r="M59" s="48"/>
      <c r="N59" s="49"/>
    </row>
    <row r="60" spans="1:14" x14ac:dyDescent="0.4">
      <c r="A60" s="10"/>
      <c r="E60" s="57"/>
      <c r="F60" s="32" t="s">
        <v>952</v>
      </c>
      <c r="G60" s="32" t="s">
        <v>953</v>
      </c>
      <c r="H60" s="32" t="s">
        <v>954</v>
      </c>
      <c r="I60" s="59">
        <v>6.0999999999999999E-2</v>
      </c>
      <c r="J60" s="19">
        <v>1000000000</v>
      </c>
      <c r="K60" s="87" t="s">
        <v>933</v>
      </c>
      <c r="L60" s="48"/>
      <c r="M60" s="48"/>
      <c r="N60" s="49"/>
    </row>
    <row r="61" spans="1:14" x14ac:dyDescent="0.4">
      <c r="A61" s="10"/>
      <c r="E61" s="57"/>
      <c r="F61" s="32" t="s">
        <v>955</v>
      </c>
      <c r="G61" s="32" t="s">
        <v>956</v>
      </c>
      <c r="H61" s="32" t="s">
        <v>957</v>
      </c>
      <c r="I61" s="59">
        <v>5.6000000000000001E-2</v>
      </c>
      <c r="J61" s="19">
        <v>2000000000</v>
      </c>
      <c r="K61" s="87" t="s">
        <v>933</v>
      </c>
      <c r="L61" s="48"/>
      <c r="M61" s="48"/>
      <c r="N61" s="49"/>
    </row>
    <row r="62" spans="1:14" x14ac:dyDescent="0.4">
      <c r="A62" s="10"/>
      <c r="E62" s="57"/>
      <c r="F62" s="32" t="s">
        <v>958</v>
      </c>
      <c r="G62" s="32" t="s">
        <v>959</v>
      </c>
      <c r="H62" s="32" t="s">
        <v>960</v>
      </c>
      <c r="I62" s="59">
        <v>5.5E-2</v>
      </c>
      <c r="J62" s="19">
        <v>2500000000</v>
      </c>
      <c r="K62" s="87" t="s">
        <v>933</v>
      </c>
      <c r="L62" s="48"/>
      <c r="M62" s="48"/>
      <c r="N62" s="49"/>
    </row>
    <row r="63" spans="1:14" x14ac:dyDescent="0.4">
      <c r="A63" s="10"/>
      <c r="E63" s="57"/>
      <c r="F63" s="32" t="s">
        <v>961</v>
      </c>
      <c r="G63" s="32" t="s">
        <v>962</v>
      </c>
      <c r="H63" s="32" t="s">
        <v>963</v>
      </c>
      <c r="I63" s="59">
        <v>8.5000000000000006E-2</v>
      </c>
      <c r="J63" s="19">
        <v>1000000000</v>
      </c>
      <c r="K63" s="87" t="s">
        <v>933</v>
      </c>
      <c r="L63" s="48"/>
      <c r="M63" s="48"/>
      <c r="N63" s="74"/>
    </row>
    <row r="64" spans="1:14" x14ac:dyDescent="0.4">
      <c r="A64" s="10"/>
      <c r="E64" s="57"/>
      <c r="F64" s="32" t="s">
        <v>964</v>
      </c>
      <c r="G64" s="32" t="s">
        <v>965</v>
      </c>
      <c r="H64" s="32" t="s">
        <v>966</v>
      </c>
      <c r="I64" s="59">
        <v>8.5000000000000006E-2</v>
      </c>
      <c r="J64" s="19">
        <v>2000000000</v>
      </c>
      <c r="K64" s="87" t="s">
        <v>933</v>
      </c>
      <c r="L64" s="48"/>
      <c r="M64" s="48"/>
      <c r="N64" s="49"/>
    </row>
    <row r="65" spans="1:14" x14ac:dyDescent="0.4">
      <c r="A65" s="10"/>
      <c r="E65" s="57"/>
      <c r="F65" s="32" t="s">
        <v>967</v>
      </c>
      <c r="G65" s="32" t="s">
        <v>968</v>
      </c>
      <c r="H65" s="32" t="s">
        <v>969</v>
      </c>
      <c r="I65" s="59">
        <v>8.5000000000000006E-2</v>
      </c>
      <c r="J65" s="19">
        <v>3000000000</v>
      </c>
      <c r="K65" s="87" t="s">
        <v>933</v>
      </c>
      <c r="L65" s="48"/>
      <c r="M65" s="48"/>
      <c r="N65" s="49"/>
    </row>
    <row r="66" spans="1:14" x14ac:dyDescent="0.4">
      <c r="A66" s="10"/>
      <c r="E66" s="57"/>
      <c r="F66" s="32" t="s">
        <v>970</v>
      </c>
      <c r="G66" s="32" t="s">
        <v>971</v>
      </c>
      <c r="H66" s="32" t="s">
        <v>972</v>
      </c>
      <c r="I66" s="59">
        <v>7.8E-2</v>
      </c>
      <c r="J66" s="19">
        <v>2000000000</v>
      </c>
      <c r="K66" s="60">
        <v>2000000000</v>
      </c>
      <c r="L66" s="61">
        <v>1.3</v>
      </c>
      <c r="M66" s="33">
        <v>1.3360000000000001</v>
      </c>
      <c r="N66" s="62">
        <v>2672301653</v>
      </c>
    </row>
    <row r="67" spans="1:14" ht="18" thickBot="1" x14ac:dyDescent="0.45">
      <c r="A67" s="10"/>
      <c r="E67" s="58"/>
      <c r="F67" s="75" t="s">
        <v>657</v>
      </c>
      <c r="G67" s="76"/>
      <c r="H67" s="76"/>
      <c r="I67" s="77"/>
      <c r="J67" s="21">
        <v>22000000000</v>
      </c>
      <c r="K67" s="63">
        <v>2000000000</v>
      </c>
      <c r="L67" s="64" t="s">
        <v>15</v>
      </c>
      <c r="M67" s="64" t="s">
        <v>15</v>
      </c>
      <c r="N67" s="65">
        <v>2672301653</v>
      </c>
    </row>
    <row r="68" spans="1:14" x14ac:dyDescent="0.4">
      <c r="A68" s="10"/>
      <c r="E68" s="36"/>
      <c r="F68" s="32" t="s">
        <v>930</v>
      </c>
      <c r="G68" s="32" t="s">
        <v>974</v>
      </c>
      <c r="H68" s="32" t="s">
        <v>975</v>
      </c>
      <c r="I68" s="66">
        <v>0.1</v>
      </c>
      <c r="J68" s="19">
        <v>2000000000</v>
      </c>
      <c r="K68" s="88" t="s">
        <v>933</v>
      </c>
      <c r="L68" s="78"/>
      <c r="M68" s="78"/>
      <c r="N68" s="79"/>
    </row>
    <row r="69" spans="1:14" x14ac:dyDescent="0.4">
      <c r="A69" s="10"/>
      <c r="E69" s="36"/>
      <c r="F69" s="32" t="s">
        <v>934</v>
      </c>
      <c r="G69" s="32" t="s">
        <v>976</v>
      </c>
      <c r="H69" s="32" t="s">
        <v>977</v>
      </c>
      <c r="I69" s="66">
        <v>9.8000000000000004E-2</v>
      </c>
      <c r="J69" s="19">
        <v>1000000000</v>
      </c>
      <c r="K69" s="87" t="s">
        <v>933</v>
      </c>
      <c r="L69" s="48"/>
      <c r="M69" s="48"/>
      <c r="N69" s="49"/>
    </row>
    <row r="70" spans="1:14" x14ac:dyDescent="0.4">
      <c r="A70" s="10"/>
      <c r="E70" s="36"/>
      <c r="F70" s="32" t="s">
        <v>937</v>
      </c>
      <c r="G70" s="32" t="s">
        <v>978</v>
      </c>
      <c r="H70" s="32" t="s">
        <v>979</v>
      </c>
      <c r="I70" s="66">
        <v>9.5000000000000001E-2</v>
      </c>
      <c r="J70" s="19">
        <v>1000000000</v>
      </c>
      <c r="K70" s="87" t="s">
        <v>933</v>
      </c>
      <c r="L70" s="48"/>
      <c r="M70" s="48"/>
      <c r="N70" s="49"/>
    </row>
    <row r="71" spans="1:14" x14ac:dyDescent="0.4">
      <c r="A71" s="10"/>
      <c r="E71" s="36"/>
      <c r="F71" s="32" t="s">
        <v>940</v>
      </c>
      <c r="G71" s="32" t="s">
        <v>980</v>
      </c>
      <c r="H71" s="32" t="s">
        <v>981</v>
      </c>
      <c r="I71" s="66">
        <v>8.3000000000000004E-2</v>
      </c>
      <c r="J71" s="19">
        <v>2000000000</v>
      </c>
      <c r="K71" s="87" t="s">
        <v>933</v>
      </c>
      <c r="L71" s="48"/>
      <c r="M71" s="48"/>
      <c r="N71" s="49"/>
    </row>
    <row r="72" spans="1:14" x14ac:dyDescent="0.4">
      <c r="A72" s="10"/>
      <c r="E72" s="36"/>
      <c r="F72" s="32" t="s">
        <v>943</v>
      </c>
      <c r="G72" s="32" t="s">
        <v>982</v>
      </c>
      <c r="H72" s="32" t="s">
        <v>983</v>
      </c>
      <c r="I72" s="66">
        <v>0.08</v>
      </c>
      <c r="J72" s="19">
        <v>1000000000</v>
      </c>
      <c r="K72" s="87" t="s">
        <v>933</v>
      </c>
      <c r="L72" s="48"/>
      <c r="M72" s="48"/>
      <c r="N72" s="49"/>
    </row>
    <row r="73" spans="1:14" x14ac:dyDescent="0.4">
      <c r="A73" s="10"/>
      <c r="E73" s="36"/>
      <c r="F73" s="32" t="s">
        <v>946</v>
      </c>
      <c r="G73" s="32" t="s">
        <v>984</v>
      </c>
      <c r="H73" s="32" t="s">
        <v>985</v>
      </c>
      <c r="I73" s="66">
        <v>7.6999999999999999E-2</v>
      </c>
      <c r="J73" s="19">
        <v>1000000000</v>
      </c>
      <c r="K73" s="87" t="s">
        <v>933</v>
      </c>
      <c r="L73" s="48"/>
      <c r="M73" s="48"/>
      <c r="N73" s="49"/>
    </row>
    <row r="74" spans="1:14" x14ac:dyDescent="0.4">
      <c r="A74" s="10"/>
      <c r="E74" s="36"/>
      <c r="F74" s="32" t="s">
        <v>949</v>
      </c>
      <c r="G74" s="32" t="s">
        <v>986</v>
      </c>
      <c r="H74" s="32" t="s">
        <v>987</v>
      </c>
      <c r="I74" s="66">
        <v>7.5999999999999998E-2</v>
      </c>
      <c r="J74" s="19">
        <v>1000000000</v>
      </c>
      <c r="K74" s="87" t="s">
        <v>933</v>
      </c>
      <c r="L74" s="48"/>
      <c r="M74" s="48"/>
      <c r="N74" s="49"/>
    </row>
    <row r="75" spans="1:14" x14ac:dyDescent="0.4">
      <c r="A75" s="10"/>
      <c r="E75" s="36"/>
      <c r="F75" s="32" t="s">
        <v>952</v>
      </c>
      <c r="G75" s="32" t="s">
        <v>988</v>
      </c>
      <c r="H75" s="32" t="s">
        <v>989</v>
      </c>
      <c r="I75" s="66">
        <v>7.4999999999999997E-2</v>
      </c>
      <c r="J75" s="19">
        <v>2000000000</v>
      </c>
      <c r="K75" s="87" t="s">
        <v>933</v>
      </c>
      <c r="L75" s="48"/>
      <c r="M75" s="48"/>
      <c r="N75" s="49"/>
    </row>
    <row r="76" spans="1:14" x14ac:dyDescent="0.4">
      <c r="A76" s="10"/>
      <c r="E76" s="47" t="s">
        <v>973</v>
      </c>
      <c r="F76" s="32" t="s">
        <v>955</v>
      </c>
      <c r="G76" s="32" t="s">
        <v>990</v>
      </c>
      <c r="H76" s="32" t="s">
        <v>991</v>
      </c>
      <c r="I76" s="66">
        <v>7.3999999999999996E-2</v>
      </c>
      <c r="J76" s="19">
        <v>1000000000</v>
      </c>
      <c r="K76" s="87" t="s">
        <v>933</v>
      </c>
      <c r="L76" s="48"/>
      <c r="M76" s="48"/>
      <c r="N76" s="49"/>
    </row>
    <row r="77" spans="1:14" x14ac:dyDescent="0.4">
      <c r="A77" s="10"/>
      <c r="E77" s="57"/>
      <c r="F77" s="32" t="s">
        <v>958</v>
      </c>
      <c r="G77" s="32" t="s">
        <v>992</v>
      </c>
      <c r="H77" s="32" t="s">
        <v>993</v>
      </c>
      <c r="I77" s="66">
        <v>7.2999999999999995E-2</v>
      </c>
      <c r="J77" s="19">
        <v>1000000000</v>
      </c>
      <c r="K77" s="87" t="s">
        <v>933</v>
      </c>
      <c r="L77" s="48"/>
      <c r="M77" s="48"/>
      <c r="N77" s="49"/>
    </row>
    <row r="78" spans="1:14" x14ac:dyDescent="0.4">
      <c r="A78" s="10"/>
      <c r="E78" s="57"/>
      <c r="F78" s="32" t="s">
        <v>961</v>
      </c>
      <c r="G78" s="32" t="s">
        <v>994</v>
      </c>
      <c r="H78" s="32" t="s">
        <v>995</v>
      </c>
      <c r="I78" s="66">
        <v>7.2999999999999995E-2</v>
      </c>
      <c r="J78" s="19">
        <v>1000000000</v>
      </c>
      <c r="K78" s="87" t="s">
        <v>933</v>
      </c>
      <c r="L78" s="48"/>
      <c r="M78" s="48"/>
      <c r="N78" s="49"/>
    </row>
    <row r="79" spans="1:14" x14ac:dyDescent="0.4">
      <c r="A79" s="10"/>
      <c r="E79" s="57"/>
      <c r="F79" s="32" t="s">
        <v>964</v>
      </c>
      <c r="G79" s="32" t="s">
        <v>996</v>
      </c>
      <c r="H79" s="32" t="s">
        <v>997</v>
      </c>
      <c r="I79" s="66">
        <v>7.1999999999999995E-2</v>
      </c>
      <c r="J79" s="19">
        <v>1000000000</v>
      </c>
      <c r="K79" s="87" t="s">
        <v>933</v>
      </c>
      <c r="L79" s="48"/>
      <c r="M79" s="48"/>
      <c r="N79" s="49"/>
    </row>
    <row r="80" spans="1:14" x14ac:dyDescent="0.4">
      <c r="A80" s="10"/>
      <c r="E80" s="57"/>
      <c r="F80" s="32" t="s">
        <v>967</v>
      </c>
      <c r="G80" s="32" t="s">
        <v>998</v>
      </c>
      <c r="H80" s="32" t="s">
        <v>999</v>
      </c>
      <c r="I80" s="66">
        <v>7.1999999999999995E-2</v>
      </c>
      <c r="J80" s="19">
        <v>1000000000</v>
      </c>
      <c r="K80" s="87" t="s">
        <v>933</v>
      </c>
      <c r="L80" s="48"/>
      <c r="M80" s="48"/>
      <c r="N80" s="49"/>
    </row>
    <row r="81" spans="1:14" x14ac:dyDescent="0.4">
      <c r="A81" s="10"/>
      <c r="E81" s="57"/>
      <c r="F81" s="32" t="s">
        <v>970</v>
      </c>
      <c r="G81" s="32" t="s">
        <v>1000</v>
      </c>
      <c r="H81" s="32" t="s">
        <v>1001</v>
      </c>
      <c r="I81" s="66">
        <v>6.9000000000000006E-2</v>
      </c>
      <c r="J81" s="19">
        <v>1500000000</v>
      </c>
      <c r="K81" s="87" t="s">
        <v>933</v>
      </c>
      <c r="L81" s="48"/>
      <c r="M81" s="48"/>
      <c r="N81" s="49"/>
    </row>
    <row r="82" spans="1:14" x14ac:dyDescent="0.4">
      <c r="A82" s="10"/>
      <c r="E82" s="57"/>
      <c r="F82" s="32" t="s">
        <v>1002</v>
      </c>
      <c r="G82" s="32" t="s">
        <v>1003</v>
      </c>
      <c r="H82" s="32" t="s">
        <v>1004</v>
      </c>
      <c r="I82" s="66">
        <v>6.9000000000000006E-2</v>
      </c>
      <c r="J82" s="19">
        <v>500000000</v>
      </c>
      <c r="K82" s="87" t="s">
        <v>933</v>
      </c>
      <c r="L82" s="48"/>
      <c r="M82" s="48"/>
      <c r="N82" s="49"/>
    </row>
    <row r="83" spans="1:14" x14ac:dyDescent="0.4">
      <c r="A83" s="10"/>
      <c r="E83" s="57"/>
      <c r="F83" s="32" t="s">
        <v>1005</v>
      </c>
      <c r="G83" s="32" t="s">
        <v>1006</v>
      </c>
      <c r="H83" s="32" t="s">
        <v>1007</v>
      </c>
      <c r="I83" s="66">
        <v>6.8000000000000005E-2</v>
      </c>
      <c r="J83" s="19">
        <v>2000000000</v>
      </c>
      <c r="K83" s="87" t="s">
        <v>933</v>
      </c>
      <c r="L83" s="48"/>
      <c r="M83" s="48"/>
      <c r="N83" s="49"/>
    </row>
    <row r="84" spans="1:14" x14ac:dyDescent="0.4">
      <c r="A84" s="10"/>
      <c r="E84" s="57"/>
      <c r="F84" s="32" t="s">
        <v>1008</v>
      </c>
      <c r="G84" s="32" t="s">
        <v>1009</v>
      </c>
      <c r="H84" s="32" t="s">
        <v>1010</v>
      </c>
      <c r="I84" s="66">
        <v>6.8000000000000005E-2</v>
      </c>
      <c r="J84" s="19">
        <v>1000000000</v>
      </c>
      <c r="K84" s="87" t="s">
        <v>933</v>
      </c>
      <c r="L84" s="48"/>
      <c r="M84" s="48"/>
      <c r="N84" s="49"/>
    </row>
    <row r="85" spans="1:14" x14ac:dyDescent="0.4">
      <c r="A85" s="10"/>
      <c r="E85" s="57"/>
      <c r="F85" s="32" t="s">
        <v>1011</v>
      </c>
      <c r="G85" s="32" t="s">
        <v>1012</v>
      </c>
      <c r="H85" s="32" t="s">
        <v>1013</v>
      </c>
      <c r="I85" s="66">
        <v>6.8000000000000005E-2</v>
      </c>
      <c r="J85" s="19">
        <v>1000000000</v>
      </c>
      <c r="K85" s="87" t="s">
        <v>933</v>
      </c>
      <c r="L85" s="48"/>
      <c r="M85" s="48"/>
      <c r="N85" s="49"/>
    </row>
    <row r="86" spans="1:14" x14ac:dyDescent="0.4">
      <c r="A86" s="10"/>
      <c r="E86" s="57"/>
      <c r="F86" s="32" t="s">
        <v>1014</v>
      </c>
      <c r="G86" s="32" t="s">
        <v>1015</v>
      </c>
      <c r="H86" s="32" t="s">
        <v>1016</v>
      </c>
      <c r="I86" s="66">
        <v>6.8000000000000005E-2</v>
      </c>
      <c r="J86" s="19">
        <v>1000000000</v>
      </c>
      <c r="K86" s="87" t="s">
        <v>933</v>
      </c>
      <c r="L86" s="48"/>
      <c r="M86" s="48"/>
      <c r="N86" s="49"/>
    </row>
    <row r="87" spans="1:14" x14ac:dyDescent="0.4">
      <c r="A87" s="10"/>
      <c r="E87" s="57"/>
      <c r="F87" s="32" t="s">
        <v>1017</v>
      </c>
      <c r="G87" s="32" t="s">
        <v>1018</v>
      </c>
      <c r="H87" s="32" t="s">
        <v>1019</v>
      </c>
      <c r="I87" s="66">
        <v>6.8000000000000005E-2</v>
      </c>
      <c r="J87" s="19">
        <v>2700000000</v>
      </c>
      <c r="K87" s="87" t="s">
        <v>933</v>
      </c>
      <c r="L87" s="48"/>
      <c r="M87" s="48"/>
      <c r="N87" s="49"/>
    </row>
    <row r="88" spans="1:14" x14ac:dyDescent="0.4">
      <c r="A88" s="10"/>
      <c r="E88" s="57"/>
      <c r="F88" s="32" t="s">
        <v>1020</v>
      </c>
      <c r="G88" s="32" t="s">
        <v>1021</v>
      </c>
      <c r="H88" s="32" t="s">
        <v>1022</v>
      </c>
      <c r="I88" s="66">
        <v>6.8000000000000005E-2</v>
      </c>
      <c r="J88" s="19">
        <v>1000000000</v>
      </c>
      <c r="K88" s="87" t="s">
        <v>933</v>
      </c>
      <c r="L88" s="48"/>
      <c r="M88" s="48"/>
      <c r="N88" s="49"/>
    </row>
    <row r="89" spans="1:14" ht="18" thickBot="1" x14ac:dyDescent="0.45">
      <c r="A89" s="10"/>
      <c r="E89" s="58"/>
      <c r="F89" s="34" t="s">
        <v>1023</v>
      </c>
      <c r="G89" s="34" t="s">
        <v>1024</v>
      </c>
      <c r="H89" s="34" t="s">
        <v>1025</v>
      </c>
      <c r="I89" s="67">
        <v>6.6000000000000003E-2</v>
      </c>
      <c r="J89" s="31">
        <v>1500000000</v>
      </c>
      <c r="K89" s="89" t="s">
        <v>933</v>
      </c>
      <c r="L89" s="80"/>
      <c r="M89" s="80"/>
      <c r="N89" s="81"/>
    </row>
    <row r="90" spans="1:14" x14ac:dyDescent="0.4">
      <c r="A90" s="10"/>
      <c r="E90" s="68"/>
      <c r="F90" s="30" t="s">
        <v>1026</v>
      </c>
      <c r="G90" s="30" t="s">
        <v>1027</v>
      </c>
      <c r="H90" s="30" t="s">
        <v>1028</v>
      </c>
      <c r="I90" s="69">
        <v>5.8999999999999997E-2</v>
      </c>
      <c r="J90" s="70">
        <v>1000000000</v>
      </c>
      <c r="K90" s="88" t="s">
        <v>933</v>
      </c>
      <c r="L90" s="78"/>
      <c r="M90" s="78"/>
      <c r="N90" s="79"/>
    </row>
    <row r="91" spans="1:14" x14ac:dyDescent="0.4">
      <c r="A91" s="10"/>
      <c r="E91" s="82"/>
      <c r="F91" s="32" t="s">
        <v>1029</v>
      </c>
      <c r="G91" s="32" t="s">
        <v>1030</v>
      </c>
      <c r="H91" s="32" t="s">
        <v>1031</v>
      </c>
      <c r="I91" s="66">
        <v>5.8999999999999997E-2</v>
      </c>
      <c r="J91" s="19">
        <v>1500000000</v>
      </c>
      <c r="K91" s="87" t="s">
        <v>933</v>
      </c>
      <c r="L91" s="48"/>
      <c r="M91" s="48"/>
      <c r="N91" s="49"/>
    </row>
    <row r="92" spans="1:14" x14ac:dyDescent="0.4">
      <c r="A92" s="10"/>
      <c r="E92" s="82"/>
      <c r="F92" s="32" t="s">
        <v>1032</v>
      </c>
      <c r="G92" s="32" t="s">
        <v>1033</v>
      </c>
      <c r="H92" s="32" t="s">
        <v>1034</v>
      </c>
      <c r="I92" s="66">
        <v>5.8999999999999997E-2</v>
      </c>
      <c r="J92" s="19">
        <v>500000000</v>
      </c>
      <c r="K92" s="87" t="s">
        <v>933</v>
      </c>
      <c r="L92" s="48"/>
      <c r="M92" s="48"/>
      <c r="N92" s="49"/>
    </row>
    <row r="93" spans="1:14" x14ac:dyDescent="0.4">
      <c r="A93" s="10"/>
      <c r="E93" s="82"/>
      <c r="F93" s="32" t="s">
        <v>1035</v>
      </c>
      <c r="G93" s="32" t="s">
        <v>1036</v>
      </c>
      <c r="H93" s="32" t="s">
        <v>1037</v>
      </c>
      <c r="I93" s="66">
        <v>5.7000000000000002E-2</v>
      </c>
      <c r="J93" s="19">
        <v>1500000000</v>
      </c>
      <c r="K93" s="87" t="s">
        <v>933</v>
      </c>
      <c r="L93" s="48"/>
      <c r="M93" s="48"/>
      <c r="N93" s="49"/>
    </row>
    <row r="94" spans="1:14" x14ac:dyDescent="0.4">
      <c r="A94" s="10"/>
      <c r="E94" s="82"/>
      <c r="F94" s="32" t="s">
        <v>1038</v>
      </c>
      <c r="G94" s="32" t="s">
        <v>1039</v>
      </c>
      <c r="H94" s="32" t="s">
        <v>1040</v>
      </c>
      <c r="I94" s="66">
        <v>5.7000000000000002E-2</v>
      </c>
      <c r="J94" s="19">
        <v>500000000</v>
      </c>
      <c r="K94" s="87" t="s">
        <v>933</v>
      </c>
      <c r="L94" s="48"/>
      <c r="M94" s="48"/>
      <c r="N94" s="49"/>
    </row>
    <row r="95" spans="1:14" x14ac:dyDescent="0.4">
      <c r="A95" s="10"/>
      <c r="E95" s="82"/>
      <c r="F95" s="32" t="s">
        <v>1041</v>
      </c>
      <c r="G95" s="32" t="s">
        <v>1042</v>
      </c>
      <c r="H95" s="32" t="s">
        <v>1043</v>
      </c>
      <c r="I95" s="66">
        <v>5.2999999999999999E-2</v>
      </c>
      <c r="J95" s="19">
        <v>2000000000</v>
      </c>
      <c r="K95" s="87" t="s">
        <v>933</v>
      </c>
      <c r="L95" s="48"/>
      <c r="M95" s="48"/>
      <c r="N95" s="49"/>
    </row>
    <row r="96" spans="1:14" x14ac:dyDescent="0.4">
      <c r="A96" s="10"/>
      <c r="E96" s="82"/>
      <c r="F96" s="32" t="s">
        <v>1044</v>
      </c>
      <c r="G96" s="32" t="s">
        <v>1045</v>
      </c>
      <c r="H96" s="32" t="s">
        <v>1046</v>
      </c>
      <c r="I96" s="66">
        <v>5.0999999999999997E-2</v>
      </c>
      <c r="J96" s="19">
        <v>2000000000</v>
      </c>
      <c r="K96" s="87" t="s">
        <v>933</v>
      </c>
      <c r="L96" s="48"/>
      <c r="M96" s="48"/>
      <c r="N96" s="49"/>
    </row>
    <row r="97" spans="1:14" x14ac:dyDescent="0.4">
      <c r="A97" s="10"/>
      <c r="E97" s="82"/>
      <c r="F97" s="32" t="s">
        <v>1047</v>
      </c>
      <c r="G97" s="32" t="s">
        <v>1048</v>
      </c>
      <c r="H97" s="32" t="s">
        <v>1049</v>
      </c>
      <c r="I97" s="66">
        <v>7.5999999999999998E-2</v>
      </c>
      <c r="J97" s="19">
        <v>3000000000</v>
      </c>
      <c r="K97" s="60">
        <v>2859137105</v>
      </c>
      <c r="L97" s="71">
        <v>1.3</v>
      </c>
      <c r="M97" s="72">
        <v>1.3120000000000001</v>
      </c>
      <c r="N97" s="62">
        <v>3751516122</v>
      </c>
    </row>
    <row r="98" spans="1:14" ht="18" thickBot="1" x14ac:dyDescent="0.45">
      <c r="A98" s="10"/>
      <c r="E98" s="83"/>
      <c r="F98" s="75" t="s">
        <v>657</v>
      </c>
      <c r="G98" s="76"/>
      <c r="H98" s="76"/>
      <c r="I98" s="77"/>
      <c r="J98" s="21">
        <v>40200000000</v>
      </c>
      <c r="K98" s="63">
        <v>2859137105</v>
      </c>
      <c r="L98" s="73" t="s">
        <v>15</v>
      </c>
      <c r="M98" s="64" t="s">
        <v>15</v>
      </c>
      <c r="N98" s="65">
        <v>3751516122</v>
      </c>
    </row>
    <row r="99" spans="1:14" ht="18" thickBot="1" x14ac:dyDescent="0.45">
      <c r="A99" s="10"/>
      <c r="E99" s="84" t="s">
        <v>622</v>
      </c>
      <c r="F99" s="85"/>
      <c r="G99" s="85"/>
      <c r="H99" s="85"/>
      <c r="I99" s="86"/>
      <c r="J99" s="21">
        <v>62200000000</v>
      </c>
      <c r="K99" s="63">
        <v>4859137105</v>
      </c>
      <c r="L99" s="73" t="s">
        <v>15</v>
      </c>
      <c r="M99" s="64" t="s">
        <v>15</v>
      </c>
      <c r="N99" s="65">
        <v>6423817775</v>
      </c>
    </row>
    <row r="100" spans="1:14" x14ac:dyDescent="0.4">
      <c r="A100" s="10"/>
    </row>
    <row r="101" spans="1:14" x14ac:dyDescent="0.4">
      <c r="A101" s="10"/>
    </row>
    <row r="102" spans="1:14" x14ac:dyDescent="0.4">
      <c r="A102" s="10"/>
    </row>
    <row r="103" spans="1:14" x14ac:dyDescent="0.4">
      <c r="A103" s="10"/>
      <c r="B103" s="4" t="s">
        <v>1225</v>
      </c>
      <c r="C103" s="4">
        <v>5</v>
      </c>
      <c r="D103" s="4" t="s">
        <v>1234</v>
      </c>
      <c r="E103" t="s">
        <v>726</v>
      </c>
      <c r="F103" t="s">
        <v>862</v>
      </c>
      <c r="G103" t="s">
        <v>728</v>
      </c>
      <c r="H103" t="s">
        <v>1050</v>
      </c>
    </row>
    <row r="104" spans="1:14" x14ac:dyDescent="0.4">
      <c r="A104" s="10"/>
      <c r="E104" t="s">
        <v>730</v>
      </c>
      <c r="F104" t="s">
        <v>731</v>
      </c>
      <c r="G104" t="s">
        <v>732</v>
      </c>
      <c r="H104" t="s">
        <v>733</v>
      </c>
    </row>
    <row r="105" spans="1:14" x14ac:dyDescent="0.4">
      <c r="A105" s="10"/>
      <c r="E105" t="s">
        <v>734</v>
      </c>
      <c r="F105" t="s">
        <v>1051</v>
      </c>
      <c r="G105" t="s">
        <v>735</v>
      </c>
      <c r="H105" s="13">
        <v>41988</v>
      </c>
    </row>
    <row r="106" spans="1:14" x14ac:dyDescent="0.4">
      <c r="A106" s="10"/>
      <c r="E106" t="s">
        <v>736</v>
      </c>
      <c r="F106" t="s">
        <v>889</v>
      </c>
      <c r="G106" t="s">
        <v>738</v>
      </c>
      <c r="H106" t="s">
        <v>901</v>
      </c>
    </row>
    <row r="107" spans="1:14" x14ac:dyDescent="0.4">
      <c r="A107" s="10"/>
      <c r="E107" t="s">
        <v>740</v>
      </c>
      <c r="F107" t="s">
        <v>1052</v>
      </c>
      <c r="G107" t="s">
        <v>742</v>
      </c>
      <c r="H107" t="s">
        <v>864</v>
      </c>
    </row>
    <row r="108" spans="1:14" x14ac:dyDescent="0.4">
      <c r="A108" s="10"/>
    </row>
    <row r="109" spans="1:14" x14ac:dyDescent="0.4">
      <c r="A109" s="10"/>
    </row>
    <row r="110" spans="1:14" x14ac:dyDescent="0.4">
      <c r="A110" s="10"/>
      <c r="B110" s="4" t="s">
        <v>1225</v>
      </c>
      <c r="C110" s="4">
        <v>6</v>
      </c>
      <c r="D110" s="4" t="s">
        <v>1233</v>
      </c>
      <c r="E110" s="90" t="s">
        <v>745</v>
      </c>
      <c r="F110" s="90" t="s">
        <v>746</v>
      </c>
      <c r="G110" s="90" t="s">
        <v>747</v>
      </c>
      <c r="H110" s="90" t="s">
        <v>748</v>
      </c>
      <c r="I110" s="90" t="s">
        <v>749</v>
      </c>
    </row>
    <row r="111" spans="1:14" x14ac:dyDescent="0.4">
      <c r="A111" s="10"/>
      <c r="E111" t="s">
        <v>750</v>
      </c>
      <c r="F111">
        <v>73688</v>
      </c>
      <c r="G111">
        <v>368440000</v>
      </c>
      <c r="H111" s="12">
        <v>0.437</v>
      </c>
      <c r="I111" t="s">
        <v>1053</v>
      </c>
    </row>
    <row r="112" spans="1:14" x14ac:dyDescent="0.4">
      <c r="A112" s="10"/>
      <c r="E112" t="s">
        <v>727</v>
      </c>
      <c r="F112">
        <v>48440</v>
      </c>
      <c r="G112">
        <v>242200000</v>
      </c>
      <c r="H112" s="12">
        <v>0.28799999999999998</v>
      </c>
    </row>
    <row r="113" spans="1:11" x14ac:dyDescent="0.4">
      <c r="A113" s="10"/>
      <c r="E113" t="s">
        <v>754</v>
      </c>
      <c r="F113">
        <v>46312</v>
      </c>
      <c r="G113">
        <v>231560000</v>
      </c>
      <c r="H113" s="12">
        <v>0.27500000000000002</v>
      </c>
    </row>
    <row r="114" spans="1:11" x14ac:dyDescent="0.4">
      <c r="A114" s="10"/>
      <c r="E114" t="s">
        <v>727</v>
      </c>
      <c r="F114">
        <v>60000</v>
      </c>
      <c r="G114">
        <v>300000000</v>
      </c>
      <c r="H114" s="4" t="s">
        <v>15</v>
      </c>
      <c r="I114" t="s">
        <v>1054</v>
      </c>
    </row>
    <row r="115" spans="1:11" x14ac:dyDescent="0.4">
      <c r="A115" s="10"/>
      <c r="E115" t="s">
        <v>622</v>
      </c>
      <c r="F115">
        <v>228440</v>
      </c>
      <c r="G115">
        <v>1142200000</v>
      </c>
      <c r="H115" s="4" t="s">
        <v>15</v>
      </c>
      <c r="I115" t="s">
        <v>15</v>
      </c>
    </row>
    <row r="116" spans="1:11" x14ac:dyDescent="0.4">
      <c r="A116" s="10"/>
    </row>
    <row r="117" spans="1:11" x14ac:dyDescent="0.4">
      <c r="A117" s="10"/>
      <c r="B117" s="4" t="s">
        <v>1243</v>
      </c>
      <c r="C117" s="4">
        <v>7</v>
      </c>
      <c r="D117" s="4" t="s">
        <v>1235</v>
      </c>
      <c r="E117" t="s">
        <v>1055</v>
      </c>
    </row>
    <row r="118" spans="1:11" x14ac:dyDescent="0.4">
      <c r="A118" s="10"/>
      <c r="E118" t="s">
        <v>618</v>
      </c>
      <c r="F118" t="s">
        <v>916</v>
      </c>
    </row>
    <row r="119" spans="1:11" x14ac:dyDescent="0.4">
      <c r="A119" s="10"/>
      <c r="E119" t="s">
        <v>1060</v>
      </c>
      <c r="F119" t="s">
        <v>1056</v>
      </c>
    </row>
    <row r="120" spans="1:11" x14ac:dyDescent="0.4">
      <c r="A120" s="10"/>
      <c r="F120" t="s">
        <v>1057</v>
      </c>
    </row>
    <row r="121" spans="1:11" x14ac:dyDescent="0.4">
      <c r="A121" s="10"/>
      <c r="F121" t="s">
        <v>1058</v>
      </c>
    </row>
    <row r="122" spans="1:11" x14ac:dyDescent="0.4">
      <c r="A122" s="10"/>
      <c r="F122" t="s">
        <v>1059</v>
      </c>
    </row>
    <row r="123" spans="1:11" x14ac:dyDescent="0.4">
      <c r="A123" s="10"/>
    </row>
    <row r="124" spans="1:11" x14ac:dyDescent="0.4">
      <c r="A124" s="10"/>
      <c r="C124" s="4">
        <v>7</v>
      </c>
      <c r="F124" t="s">
        <v>593</v>
      </c>
      <c r="I124" t="s">
        <v>576</v>
      </c>
    </row>
    <row r="125" spans="1:11" x14ac:dyDescent="0.4">
      <c r="A125" s="10"/>
      <c r="C125" s="4">
        <v>8</v>
      </c>
      <c r="D125" s="4" t="s">
        <v>1236</v>
      </c>
      <c r="E125" t="s">
        <v>595</v>
      </c>
      <c r="F125" t="s">
        <v>578</v>
      </c>
      <c r="G125" t="s">
        <v>579</v>
      </c>
      <c r="H125">
        <v>2023.12</v>
      </c>
      <c r="I125">
        <v>2024.05</v>
      </c>
    </row>
    <row r="126" spans="1:11" x14ac:dyDescent="0.4">
      <c r="A126" s="10"/>
      <c r="E126" t="s">
        <v>247</v>
      </c>
      <c r="F126" s="9">
        <v>189454</v>
      </c>
      <c r="G126" s="9">
        <v>171373</v>
      </c>
      <c r="H126" s="9">
        <v>143929</v>
      </c>
      <c r="I126" s="9">
        <v>63173</v>
      </c>
    </row>
    <row r="127" spans="1:11" x14ac:dyDescent="0.4">
      <c r="A127" s="10"/>
      <c r="E127" t="s">
        <v>261</v>
      </c>
      <c r="F127" s="9">
        <v>4679</v>
      </c>
      <c r="G127" s="9">
        <v>1379</v>
      </c>
      <c r="H127" s="9">
        <v>2860</v>
      </c>
      <c r="I127" s="9">
        <v>2036</v>
      </c>
    </row>
    <row r="128" spans="1:11" x14ac:dyDescent="0.4">
      <c r="A128" s="10"/>
      <c r="E128" t="s">
        <v>567</v>
      </c>
      <c r="F128" s="9">
        <f>F129+F130</f>
        <v>173904</v>
      </c>
      <c r="G128" s="9">
        <f t="shared" ref="G128:I128" si="0">G129+G130</f>
        <v>144699</v>
      </c>
      <c r="H128" s="9">
        <f t="shared" si="0"/>
        <v>113815</v>
      </c>
      <c r="I128" s="9">
        <f t="shared" si="0"/>
        <v>35456</v>
      </c>
      <c r="K128" s="4" t="s">
        <v>597</v>
      </c>
    </row>
    <row r="129" spans="1:11" x14ac:dyDescent="0.4">
      <c r="A129" s="10"/>
      <c r="E129" t="s">
        <v>568</v>
      </c>
      <c r="F129" s="9">
        <v>182577</v>
      </c>
      <c r="G129" s="9">
        <v>152253</v>
      </c>
      <c r="H129" s="9">
        <v>119583</v>
      </c>
      <c r="I129" s="9">
        <v>43809</v>
      </c>
    </row>
    <row r="130" spans="1:11" x14ac:dyDescent="0.4">
      <c r="A130" s="10"/>
      <c r="E130" t="s">
        <v>580</v>
      </c>
      <c r="F130" s="9">
        <v>-8673</v>
      </c>
      <c r="G130" s="9">
        <v>-7554</v>
      </c>
      <c r="H130" s="9">
        <v>-5768</v>
      </c>
      <c r="I130" s="9">
        <v>-8353</v>
      </c>
    </row>
    <row r="131" spans="1:11" x14ac:dyDescent="0.4">
      <c r="A131" s="10"/>
      <c r="E131" t="s">
        <v>569</v>
      </c>
      <c r="F131" s="9">
        <v>10871</v>
      </c>
      <c r="G131" s="9">
        <v>25295</v>
      </c>
      <c r="H131" s="9">
        <v>27254</v>
      </c>
      <c r="I131" s="9">
        <v>25681</v>
      </c>
    </row>
    <row r="132" spans="1:11" x14ac:dyDescent="0.4">
      <c r="A132" s="10"/>
      <c r="E132" t="s">
        <v>251</v>
      </c>
      <c r="F132" s="9">
        <f>SUM(F133:F134)</f>
        <v>168842</v>
      </c>
      <c r="G132" s="9">
        <f t="shared" ref="G132:I132" si="1">SUM(G133:G134)</f>
        <v>148311</v>
      </c>
      <c r="H132" s="9">
        <f t="shared" si="1"/>
        <v>120725</v>
      </c>
      <c r="I132" s="9">
        <f t="shared" si="1"/>
        <v>41224</v>
      </c>
      <c r="K132" s="4" t="s">
        <v>597</v>
      </c>
    </row>
    <row r="133" spans="1:11" x14ac:dyDescent="0.4">
      <c r="A133" s="10"/>
      <c r="E133" t="s">
        <v>581</v>
      </c>
      <c r="F133" s="9">
        <v>165498</v>
      </c>
      <c r="G133" s="9">
        <v>146055</v>
      </c>
      <c r="H133" s="9">
        <v>118567</v>
      </c>
      <c r="I133" s="9">
        <v>40057</v>
      </c>
    </row>
    <row r="134" spans="1:11" x14ac:dyDescent="0.4">
      <c r="A134" s="10"/>
      <c r="E134" t="s">
        <v>570</v>
      </c>
      <c r="F134" s="9">
        <v>3344</v>
      </c>
      <c r="G134" s="9">
        <v>2256</v>
      </c>
      <c r="H134" s="9">
        <v>2158</v>
      </c>
      <c r="I134" s="9">
        <v>1167</v>
      </c>
    </row>
    <row r="135" spans="1:11" x14ac:dyDescent="0.4">
      <c r="A135" s="10"/>
      <c r="E135" t="s">
        <v>254</v>
      </c>
      <c r="F135" s="9">
        <f>SUM(F136:F138)</f>
        <v>20612</v>
      </c>
      <c r="G135" s="9">
        <f t="shared" ref="G135:I135" si="2">SUM(G136:G138)</f>
        <v>23062</v>
      </c>
      <c r="H135" s="9">
        <f t="shared" si="2"/>
        <v>23204</v>
      </c>
      <c r="I135" s="9">
        <f t="shared" si="2"/>
        <v>21949</v>
      </c>
      <c r="K135" s="4" t="s">
        <v>597</v>
      </c>
    </row>
    <row r="136" spans="1:11" x14ac:dyDescent="0.4">
      <c r="A136" s="10"/>
      <c r="E136" t="s">
        <v>258</v>
      </c>
      <c r="F136" s="9">
        <v>1142</v>
      </c>
      <c r="G136" s="9">
        <v>1142</v>
      </c>
      <c r="H136" s="9">
        <v>1142</v>
      </c>
      <c r="I136" s="9">
        <v>1142</v>
      </c>
    </row>
    <row r="137" spans="1:11" x14ac:dyDescent="0.4">
      <c r="A137" s="10"/>
      <c r="E137" t="s">
        <v>582</v>
      </c>
      <c r="F137" s="9">
        <v>2694</v>
      </c>
      <c r="G137" s="9">
        <v>2694</v>
      </c>
      <c r="H137" s="9">
        <v>2694</v>
      </c>
      <c r="I137" s="9">
        <v>2694</v>
      </c>
    </row>
    <row r="138" spans="1:11" ht="18" thickBot="1" x14ac:dyDescent="0.45">
      <c r="A138" s="10"/>
      <c r="E138" t="s">
        <v>583</v>
      </c>
      <c r="F138" s="9">
        <v>16776</v>
      </c>
      <c r="G138" s="9">
        <v>19226</v>
      </c>
      <c r="H138" s="9">
        <v>19368</v>
      </c>
      <c r="I138" s="9">
        <v>18113</v>
      </c>
    </row>
    <row r="139" spans="1:11" ht="18" thickBot="1" x14ac:dyDescent="0.45">
      <c r="A139" s="10"/>
      <c r="E139" s="22" t="s">
        <v>596</v>
      </c>
      <c r="F139" s="23">
        <f>F126-F132-F135</f>
        <v>0</v>
      </c>
      <c r="G139" s="23">
        <f t="shared" ref="G139:I139" si="3">G126-G132-G135</f>
        <v>0</v>
      </c>
      <c r="H139" s="23">
        <f t="shared" si="3"/>
        <v>0</v>
      </c>
      <c r="I139" s="24">
        <f t="shared" si="3"/>
        <v>0</v>
      </c>
      <c r="K139" s="4" t="s">
        <v>597</v>
      </c>
    </row>
    <row r="140" spans="1:11" x14ac:dyDescent="0.4">
      <c r="A140" s="10"/>
      <c r="F140" s="9"/>
      <c r="G140" s="9"/>
      <c r="H140" s="9"/>
      <c r="I140" s="9"/>
    </row>
    <row r="141" spans="1:11" x14ac:dyDescent="0.4">
      <c r="A141" s="10"/>
      <c r="C141" s="4">
        <v>9</v>
      </c>
      <c r="D141" s="4" t="s">
        <v>1237</v>
      </c>
      <c r="E141" t="s">
        <v>584</v>
      </c>
      <c r="F141" s="14">
        <f>SUM(F142:F143)</f>
        <v>34077</v>
      </c>
      <c r="G141" s="14">
        <f t="shared" ref="G141:I141" si="4">SUM(G142:G143)</f>
        <v>33636</v>
      </c>
      <c r="H141" s="14">
        <f t="shared" si="4"/>
        <v>24790</v>
      </c>
      <c r="I141" s="14">
        <f t="shared" si="4"/>
        <v>5539</v>
      </c>
      <c r="K141" s="4" t="s">
        <v>597</v>
      </c>
    </row>
    <row r="142" spans="1:11" x14ac:dyDescent="0.4">
      <c r="A142" s="10"/>
      <c r="E142" t="s">
        <v>585</v>
      </c>
      <c r="F142" s="14">
        <v>31360</v>
      </c>
      <c r="G142" s="14">
        <v>30944</v>
      </c>
      <c r="H142" s="14">
        <v>23177</v>
      </c>
      <c r="I142" s="14">
        <v>3887</v>
      </c>
    </row>
    <row r="143" spans="1:11" x14ac:dyDescent="0.4">
      <c r="A143" s="10"/>
      <c r="E143" t="s">
        <v>586</v>
      </c>
      <c r="F143" s="14">
        <v>2717</v>
      </c>
      <c r="G143" s="14">
        <v>2692</v>
      </c>
      <c r="H143" s="14">
        <v>1613</v>
      </c>
      <c r="I143" s="14">
        <v>1652</v>
      </c>
    </row>
    <row r="144" spans="1:11" x14ac:dyDescent="0.4">
      <c r="A144" s="10"/>
      <c r="E144" t="s">
        <v>587</v>
      </c>
      <c r="F144" s="14">
        <f>SUM(F145:F149)</f>
        <v>27279</v>
      </c>
      <c r="G144" s="14">
        <f t="shared" ref="G144:I144" si="5">SUM(G145:G149)</f>
        <v>28572</v>
      </c>
      <c r="H144" s="14">
        <f t="shared" si="5"/>
        <v>24474</v>
      </c>
      <c r="I144" s="14">
        <f t="shared" si="5"/>
        <v>6877</v>
      </c>
      <c r="K144" s="4" t="s">
        <v>597</v>
      </c>
    </row>
    <row r="145" spans="1:11" x14ac:dyDescent="0.4">
      <c r="A145" s="10"/>
      <c r="E145" t="s">
        <v>280</v>
      </c>
      <c r="F145" s="14">
        <v>9544</v>
      </c>
      <c r="G145" s="14">
        <v>10396</v>
      </c>
      <c r="H145" s="14">
        <v>9588</v>
      </c>
      <c r="I145" s="14">
        <v>1680</v>
      </c>
    </row>
    <row r="146" spans="1:11" x14ac:dyDescent="0.4">
      <c r="A146" s="10"/>
      <c r="E146" t="s">
        <v>283</v>
      </c>
      <c r="F146" s="14">
        <v>6442</v>
      </c>
      <c r="G146" s="14">
        <v>9187</v>
      </c>
      <c r="H146" s="14">
        <v>8900</v>
      </c>
      <c r="I146" s="14">
        <v>2643</v>
      </c>
    </row>
    <row r="147" spans="1:11" x14ac:dyDescent="0.4">
      <c r="A147" s="10"/>
      <c r="E147" t="s">
        <v>588</v>
      </c>
      <c r="F147" s="14" t="s">
        <v>15</v>
      </c>
      <c r="G147" s="14" t="s">
        <v>15</v>
      </c>
      <c r="H147" s="14" t="s">
        <v>15</v>
      </c>
      <c r="I147" s="14" t="s">
        <v>15</v>
      </c>
    </row>
    <row r="148" spans="1:11" x14ac:dyDescent="0.4">
      <c r="A148" s="10"/>
      <c r="E148" t="s">
        <v>589</v>
      </c>
      <c r="F148" s="14">
        <v>5765</v>
      </c>
      <c r="G148" s="14">
        <v>6456</v>
      </c>
      <c r="H148" s="14">
        <v>5239</v>
      </c>
      <c r="I148" s="14">
        <v>2259</v>
      </c>
    </row>
    <row r="149" spans="1:11" x14ac:dyDescent="0.4">
      <c r="A149" s="10"/>
      <c r="E149" t="s">
        <v>590</v>
      </c>
      <c r="F149" s="14">
        <v>5528</v>
      </c>
      <c r="G149" s="14">
        <v>2533</v>
      </c>
      <c r="H149" s="14">
        <v>747</v>
      </c>
      <c r="I149" s="14">
        <v>295</v>
      </c>
    </row>
    <row r="150" spans="1:11" x14ac:dyDescent="0.4">
      <c r="A150" s="10"/>
      <c r="E150" t="s">
        <v>289</v>
      </c>
      <c r="F150" s="14">
        <f>F141-F144</f>
        <v>6798</v>
      </c>
      <c r="G150" s="14">
        <f t="shared" ref="G150:I150" si="6">G141-G144</f>
        <v>5064</v>
      </c>
      <c r="H150" s="14">
        <f t="shared" si="6"/>
        <v>316</v>
      </c>
      <c r="I150" s="14">
        <f t="shared" si="6"/>
        <v>-1338</v>
      </c>
      <c r="K150" s="4" t="s">
        <v>597</v>
      </c>
    </row>
    <row r="151" spans="1:11" x14ac:dyDescent="0.4">
      <c r="A151" s="10"/>
      <c r="E151" t="s">
        <v>591</v>
      </c>
      <c r="F151" s="14">
        <v>48</v>
      </c>
      <c r="G151" s="14">
        <v>155</v>
      </c>
      <c r="H151" s="14">
        <v>120</v>
      </c>
      <c r="I151" s="14">
        <v>83</v>
      </c>
    </row>
    <row r="152" spans="1:11" x14ac:dyDescent="0.4">
      <c r="A152" s="10"/>
      <c r="E152" t="s">
        <v>296</v>
      </c>
      <c r="F152" s="14">
        <v>6847</v>
      </c>
      <c r="G152" s="14">
        <v>5220</v>
      </c>
      <c r="H152" s="14">
        <v>435</v>
      </c>
      <c r="I152" s="14">
        <v>-1254</v>
      </c>
      <c r="K152" s="4" t="s">
        <v>597</v>
      </c>
    </row>
    <row r="153" spans="1:11" x14ac:dyDescent="0.4">
      <c r="A153" s="10"/>
      <c r="E153" t="s">
        <v>598</v>
      </c>
      <c r="F153" s="14"/>
      <c r="G153" s="14"/>
      <c r="H153" s="14"/>
      <c r="I153" s="14"/>
      <c r="K153" s="25" t="s">
        <v>599</v>
      </c>
    </row>
    <row r="154" spans="1:11" x14ac:dyDescent="0.4">
      <c r="A154" s="10"/>
      <c r="E154" t="s">
        <v>292</v>
      </c>
      <c r="F154" s="14">
        <v>5391</v>
      </c>
      <c r="G154" s="14">
        <v>4044</v>
      </c>
      <c r="H154" s="14">
        <v>142</v>
      </c>
      <c r="I154" s="14">
        <v>-1254</v>
      </c>
    </row>
    <row r="155" spans="1:11" x14ac:dyDescent="0.4">
      <c r="A155" s="10"/>
      <c r="E155" t="s">
        <v>592</v>
      </c>
    </row>
    <row r="156" spans="1:11" x14ac:dyDescent="0.4">
      <c r="A156" s="10"/>
    </row>
    <row r="157" spans="1:11" x14ac:dyDescent="0.4">
      <c r="A157" s="10"/>
      <c r="K157"/>
    </row>
    <row r="158" spans="1:11" x14ac:dyDescent="0.4">
      <c r="A158" s="10"/>
      <c r="C158" s="4">
        <v>10</v>
      </c>
      <c r="D158" s="4" t="s">
        <v>1238</v>
      </c>
      <c r="K158"/>
    </row>
    <row r="159" spans="1:11" x14ac:dyDescent="0.4">
      <c r="A159" s="10"/>
      <c r="F159">
        <v>2021.12</v>
      </c>
      <c r="G159">
        <v>2022.12</v>
      </c>
      <c r="H159">
        <v>2023.12</v>
      </c>
      <c r="I159" t="s">
        <v>5</v>
      </c>
      <c r="K159"/>
    </row>
    <row r="160" spans="1:11" x14ac:dyDescent="0.4">
      <c r="A160" s="10"/>
      <c r="E160" t="s">
        <v>301</v>
      </c>
      <c r="F160" s="27">
        <v>0.35599999999999998</v>
      </c>
      <c r="G160" s="15">
        <v>-9.5399999999999999E-2</v>
      </c>
      <c r="H160" s="26">
        <v>-0.19070000000000001</v>
      </c>
      <c r="I160" t="s">
        <v>600</v>
      </c>
      <c r="K160" s="4" t="s">
        <v>597</v>
      </c>
    </row>
    <row r="161" spans="1:13" x14ac:dyDescent="0.4">
      <c r="A161" s="10"/>
      <c r="E161" t="s">
        <v>306</v>
      </c>
      <c r="F161" s="27">
        <v>0.31680000000000003</v>
      </c>
      <c r="G161" s="17">
        <f>(G128-F128)/F128</f>
        <v>-0.16793748274910295</v>
      </c>
      <c r="H161" s="17">
        <f>(H128-G128)/G128</f>
        <v>-0.21343616749251895</v>
      </c>
      <c r="I161" t="s">
        <v>601</v>
      </c>
      <c r="K161" s="4" t="s">
        <v>597</v>
      </c>
    </row>
    <row r="162" spans="1:13" x14ac:dyDescent="0.4">
      <c r="A162" s="10"/>
      <c r="E162" t="s">
        <v>602</v>
      </c>
      <c r="F162" s="15">
        <v>0.10879999999999999</v>
      </c>
      <c r="G162" s="17">
        <v>0.1346</v>
      </c>
      <c r="H162" s="17">
        <v>0.16120000000000001</v>
      </c>
      <c r="I162" t="s">
        <v>311</v>
      </c>
      <c r="K162" s="4" t="s">
        <v>597</v>
      </c>
    </row>
    <row r="163" spans="1:13" x14ac:dyDescent="0.4">
      <c r="A163" s="10"/>
      <c r="E163" t="s">
        <v>315</v>
      </c>
      <c r="F163" s="15">
        <f>F152/F126</f>
        <v>3.6140699061513612E-2</v>
      </c>
      <c r="G163" s="15">
        <f>G152/G126</f>
        <v>3.0459874075846254E-2</v>
      </c>
      <c r="H163" s="15">
        <f>H152/H126</f>
        <v>3.0223235067290124E-3</v>
      </c>
      <c r="I163" t="s">
        <v>316</v>
      </c>
      <c r="K163" s="4" t="s">
        <v>597</v>
      </c>
    </row>
    <row r="164" spans="1:13" x14ac:dyDescent="0.4">
      <c r="A164" s="10"/>
      <c r="E164" t="s">
        <v>573</v>
      </c>
      <c r="F164" s="15">
        <f>F154/F126</f>
        <v>2.8455456205728039E-2</v>
      </c>
      <c r="G164" s="15">
        <f>G154/G126</f>
        <v>2.3597649571402729E-2</v>
      </c>
      <c r="H164" s="15">
        <f>H154/H126</f>
        <v>9.8659755851843623E-4</v>
      </c>
      <c r="I164" t="s">
        <v>321</v>
      </c>
      <c r="K164" s="4" t="s">
        <v>597</v>
      </c>
    </row>
    <row r="165" spans="1:13" x14ac:dyDescent="0.4">
      <c r="A165" s="10"/>
      <c r="E165" t="s">
        <v>574</v>
      </c>
      <c r="F165" s="15">
        <f>F154/F135</f>
        <v>0.26154667184164565</v>
      </c>
      <c r="G165" s="15">
        <f>G154/G135</f>
        <v>0.17535339519555979</v>
      </c>
      <c r="H165" s="15">
        <f>H154/H135</f>
        <v>6.1196345457679713E-3</v>
      </c>
      <c r="I165" t="s">
        <v>325</v>
      </c>
      <c r="K165" s="4" t="s">
        <v>597</v>
      </c>
    </row>
    <row r="166" spans="1:13" x14ac:dyDescent="0.4">
      <c r="A166" s="10"/>
      <c r="E166" t="s">
        <v>603</v>
      </c>
      <c r="F166" s="15">
        <f>F150/F141</f>
        <v>0.1994893916718021</v>
      </c>
      <c r="G166" s="15">
        <f>G150/G141</f>
        <v>0.15055297895112379</v>
      </c>
      <c r="H166" s="15">
        <f>H150/H141</f>
        <v>1.2747075433642598E-2</v>
      </c>
      <c r="I166" t="s">
        <v>330</v>
      </c>
      <c r="K166" s="4" t="s">
        <v>597</v>
      </c>
    </row>
    <row r="167" spans="1:13" x14ac:dyDescent="0.4">
      <c r="A167" s="10"/>
      <c r="E167" t="s">
        <v>604</v>
      </c>
      <c r="F167" s="15">
        <f>F154/F141</f>
        <v>0.15820054582269566</v>
      </c>
      <c r="G167" s="15">
        <f>G154/G141</f>
        <v>0.12022832679272208</v>
      </c>
      <c r="H167" s="15">
        <f>H154/H141</f>
        <v>5.7281161758773701E-3</v>
      </c>
      <c r="I167" t="s">
        <v>335</v>
      </c>
      <c r="K167" s="4" t="s">
        <v>597</v>
      </c>
    </row>
    <row r="168" spans="1:13" x14ac:dyDescent="0.4">
      <c r="A168" s="10"/>
      <c r="E168" t="s">
        <v>338</v>
      </c>
      <c r="F168" s="11">
        <v>160819</v>
      </c>
      <c r="G168" s="9">
        <f>SUM(F129:G129)/2</f>
        <v>167415</v>
      </c>
      <c r="H168" s="9">
        <f>SUM(G129:H129)/2</f>
        <v>135918</v>
      </c>
      <c r="I168" t="s">
        <v>605</v>
      </c>
      <c r="K168" s="4" t="s">
        <v>597</v>
      </c>
      <c r="M168" s="3" t="s">
        <v>606</v>
      </c>
    </row>
    <row r="169" spans="1:13" x14ac:dyDescent="0.4">
      <c r="A169" s="10"/>
      <c r="E169" t="s">
        <v>342</v>
      </c>
      <c r="F169" s="27">
        <v>0.21190000000000001</v>
      </c>
      <c r="G169" s="27">
        <v>0.2009</v>
      </c>
      <c r="H169" s="27">
        <v>0.18240000000000001</v>
      </c>
      <c r="I169" t="s">
        <v>343</v>
      </c>
      <c r="M169" s="3" t="s">
        <v>607</v>
      </c>
    </row>
    <row r="170" spans="1:13" x14ac:dyDescent="0.4">
      <c r="A170" s="10"/>
      <c r="E170" t="s">
        <v>347</v>
      </c>
      <c r="F170" s="16">
        <f t="shared" ref="F170:H171" si="7">F145/F$168</f>
        <v>5.9346221528550729E-2</v>
      </c>
      <c r="G170" s="16">
        <f t="shared" si="7"/>
        <v>6.2097183645432014E-2</v>
      </c>
      <c r="H170" s="16">
        <f t="shared" si="7"/>
        <v>7.0542532997836929E-2</v>
      </c>
      <c r="I170" t="s">
        <v>348</v>
      </c>
      <c r="K170" s="4" t="s">
        <v>597</v>
      </c>
    </row>
    <row r="171" spans="1:13" x14ac:dyDescent="0.4">
      <c r="A171" s="10"/>
      <c r="E171" t="s">
        <v>352</v>
      </c>
      <c r="F171" s="16">
        <f t="shared" si="7"/>
        <v>4.0057455897624036E-2</v>
      </c>
      <c r="G171" s="16">
        <f t="shared" si="7"/>
        <v>5.4875608517755275E-2</v>
      </c>
      <c r="H171" s="16">
        <f t="shared" si="7"/>
        <v>6.5480657455230365E-2</v>
      </c>
      <c r="I171" t="s">
        <v>353</v>
      </c>
      <c r="K171" s="4" t="s">
        <v>597</v>
      </c>
    </row>
    <row r="172" spans="1:13" x14ac:dyDescent="0.4">
      <c r="A172" s="10"/>
      <c r="E172" t="s">
        <v>357</v>
      </c>
      <c r="F172" s="29">
        <f>F149/F$168</f>
        <v>3.4374047842605664E-2</v>
      </c>
      <c r="G172" s="29">
        <f>G149/G$168</f>
        <v>1.513006600364364E-2</v>
      </c>
      <c r="H172" s="29">
        <f>H149/H$168</f>
        <v>5.495960799894054E-3</v>
      </c>
      <c r="I172" t="s">
        <v>610</v>
      </c>
      <c r="K172" s="4" t="s">
        <v>597</v>
      </c>
      <c r="M172" s="3" t="s">
        <v>609</v>
      </c>
    </row>
    <row r="173" spans="1:13" x14ac:dyDescent="0.4">
      <c r="A173" s="10"/>
      <c r="E173" t="s">
        <v>362</v>
      </c>
      <c r="F173" s="29">
        <f>F148/F$168</f>
        <v>3.5847754307637779E-2</v>
      </c>
      <c r="G173" s="29">
        <f>G148/G$168</f>
        <v>3.8562852790968549E-2</v>
      </c>
      <c r="H173" s="29">
        <f>H148/H$168</f>
        <v>3.8545299371679984E-2</v>
      </c>
      <c r="I173" t="s">
        <v>608</v>
      </c>
      <c r="K173" s="4" t="s">
        <v>597</v>
      </c>
      <c r="M173" s="3" t="s">
        <v>611</v>
      </c>
    </row>
    <row r="174" spans="1:13" x14ac:dyDescent="0.4">
      <c r="A174" s="10"/>
      <c r="E174" t="s">
        <v>575</v>
      </c>
      <c r="F174" s="15">
        <f>F169-F170-F171-F172-F173</f>
        <v>4.2274520423581798E-2</v>
      </c>
      <c r="G174" s="15">
        <f>G169-G170-G171-G172-G173</f>
        <v>3.0234289042200518E-2</v>
      </c>
      <c r="H174" s="15">
        <f>H169-H170-H171-H172-H173</f>
        <v>2.335549375358674E-3</v>
      </c>
      <c r="I174" t="s">
        <v>15</v>
      </c>
      <c r="K174" s="4" t="s">
        <v>597</v>
      </c>
    </row>
    <row r="175" spans="1:13" x14ac:dyDescent="0.4">
      <c r="A175" s="10"/>
      <c r="E175" t="s">
        <v>612</v>
      </c>
      <c r="K175"/>
    </row>
    <row r="176" spans="1:13" x14ac:dyDescent="0.4">
      <c r="A176" s="10"/>
      <c r="K176"/>
    </row>
    <row r="177" spans="1:11" x14ac:dyDescent="0.4">
      <c r="A177" s="10"/>
      <c r="K177"/>
    </row>
    <row r="178" spans="1:11" x14ac:dyDescent="0.4">
      <c r="A178" s="10"/>
      <c r="K178"/>
    </row>
    <row r="179" spans="1:11" x14ac:dyDescent="0.4">
      <c r="A179" s="10"/>
      <c r="K179"/>
    </row>
    <row r="180" spans="1:11" x14ac:dyDescent="0.4">
      <c r="A180" s="10"/>
      <c r="K180"/>
    </row>
    <row r="181" spans="1:11" x14ac:dyDescent="0.4">
      <c r="A181" s="10"/>
      <c r="B181" s="4" t="s">
        <v>1243</v>
      </c>
      <c r="C181" s="4">
        <v>11</v>
      </c>
      <c r="D181" s="4" t="s">
        <v>1239</v>
      </c>
      <c r="E181" t="s">
        <v>618</v>
      </c>
      <c r="F181" s="14" t="s">
        <v>619</v>
      </c>
      <c r="G181" t="s">
        <v>613</v>
      </c>
      <c r="K181"/>
    </row>
    <row r="182" spans="1:11" x14ac:dyDescent="0.4">
      <c r="A182" s="10"/>
      <c r="E182" t="s">
        <v>614</v>
      </c>
      <c r="F182" s="14">
        <v>17090</v>
      </c>
      <c r="G182" s="16">
        <f>F182/$F$187</f>
        <v>0.39341620626151014</v>
      </c>
      <c r="K182"/>
    </row>
    <row r="183" spans="1:11" x14ac:dyDescent="0.4">
      <c r="A183" s="10"/>
      <c r="E183" t="s">
        <v>620</v>
      </c>
      <c r="F183" s="14">
        <v>2622</v>
      </c>
      <c r="G183" s="16">
        <f t="shared" ref="G183:G186" si="8">F183/$F$187</f>
        <v>6.0359116022099445E-2</v>
      </c>
      <c r="K183"/>
    </row>
    <row r="184" spans="1:11" x14ac:dyDescent="0.4">
      <c r="A184" s="10"/>
      <c r="E184" t="s">
        <v>615</v>
      </c>
      <c r="F184" s="14">
        <v>2500</v>
      </c>
      <c r="G184" s="16">
        <f t="shared" si="8"/>
        <v>5.7550644567219152E-2</v>
      </c>
      <c r="K184"/>
    </row>
    <row r="185" spans="1:11" x14ac:dyDescent="0.4">
      <c r="A185" s="10"/>
      <c r="E185" t="s">
        <v>621</v>
      </c>
      <c r="F185" s="14">
        <v>3042</v>
      </c>
      <c r="G185" s="16">
        <f t="shared" si="8"/>
        <v>7.0027624309392258E-2</v>
      </c>
      <c r="K185"/>
    </row>
    <row r="186" spans="1:11" x14ac:dyDescent="0.4">
      <c r="A186" s="10"/>
      <c r="E186" t="s">
        <v>616</v>
      </c>
      <c r="F186" s="14">
        <v>18186</v>
      </c>
      <c r="G186" s="16">
        <f t="shared" si="8"/>
        <v>0.41864640883977899</v>
      </c>
      <c r="K186"/>
    </row>
    <row r="187" spans="1:11" x14ac:dyDescent="0.4">
      <c r="A187" s="10"/>
      <c r="E187" t="s">
        <v>622</v>
      </c>
      <c r="F187" s="14">
        <f>SUM(F182:F186)</f>
        <v>43440</v>
      </c>
      <c r="G187" s="16">
        <f>SUM(G182:G186)</f>
        <v>1</v>
      </c>
      <c r="K187"/>
    </row>
    <row r="188" spans="1:11" x14ac:dyDescent="0.4">
      <c r="A188" s="10"/>
      <c r="K188"/>
    </row>
    <row r="189" spans="1:11" x14ac:dyDescent="0.4">
      <c r="A189" s="10"/>
      <c r="B189" s="4" t="s">
        <v>1243</v>
      </c>
      <c r="C189" s="4">
        <v>12</v>
      </c>
      <c r="D189" s="4" t="s">
        <v>1241</v>
      </c>
      <c r="E189" t="s">
        <v>33</v>
      </c>
      <c r="F189" t="s">
        <v>623</v>
      </c>
      <c r="G189" t="s">
        <v>624</v>
      </c>
      <c r="H189" t="s">
        <v>625</v>
      </c>
      <c r="I189" t="s">
        <v>626</v>
      </c>
      <c r="J189" t="s">
        <v>565</v>
      </c>
    </row>
    <row r="190" spans="1:11" x14ac:dyDescent="0.4">
      <c r="A190" s="10"/>
      <c r="E190" t="s">
        <v>627</v>
      </c>
      <c r="F190" t="s">
        <v>628</v>
      </c>
      <c r="G190" t="s">
        <v>629</v>
      </c>
      <c r="H190" s="12">
        <v>0.2</v>
      </c>
      <c r="I190" t="s">
        <v>630</v>
      </c>
      <c r="J190" t="s">
        <v>631</v>
      </c>
    </row>
    <row r="191" spans="1:11" x14ac:dyDescent="0.4">
      <c r="A191" s="10"/>
      <c r="E191" t="s">
        <v>632</v>
      </c>
      <c r="F191" t="s">
        <v>633</v>
      </c>
      <c r="G191" t="s">
        <v>634</v>
      </c>
      <c r="H191" s="12">
        <v>0.19</v>
      </c>
      <c r="I191" t="s">
        <v>635</v>
      </c>
      <c r="J191" t="s">
        <v>636</v>
      </c>
    </row>
    <row r="192" spans="1:11" x14ac:dyDescent="0.4">
      <c r="A192" s="10"/>
      <c r="E192" t="s">
        <v>637</v>
      </c>
      <c r="F192" t="s">
        <v>638</v>
      </c>
      <c r="G192" t="s">
        <v>639</v>
      </c>
      <c r="H192" s="12" t="s">
        <v>640</v>
      </c>
      <c r="I192" t="s">
        <v>635</v>
      </c>
      <c r="J192" t="s">
        <v>641</v>
      </c>
    </row>
    <row r="193" spans="1:17" x14ac:dyDescent="0.4">
      <c r="A193" s="10"/>
      <c r="E193" s="35" t="s">
        <v>646</v>
      </c>
      <c r="F193" s="14"/>
      <c r="G193" s="14"/>
      <c r="H193" s="14"/>
      <c r="I193" s="14"/>
    </row>
    <row r="194" spans="1:17" x14ac:dyDescent="0.4">
      <c r="A194" s="10"/>
      <c r="E194" s="35"/>
      <c r="F194" s="14"/>
      <c r="G194" s="14"/>
      <c r="H194" s="14"/>
      <c r="I194" s="14"/>
    </row>
    <row r="195" spans="1:17" x14ac:dyDescent="0.4">
      <c r="A195" s="10"/>
      <c r="E195" s="35"/>
      <c r="F195" s="14"/>
      <c r="G195" s="14"/>
      <c r="H195" s="14"/>
      <c r="I195" s="14"/>
    </row>
    <row r="196" spans="1:17" x14ac:dyDescent="0.4">
      <c r="A196" s="10"/>
      <c r="E196" s="35"/>
      <c r="F196" s="14"/>
      <c r="G196" s="14"/>
      <c r="H196" s="14"/>
      <c r="I196" s="14"/>
    </row>
    <row r="197" spans="1:17" x14ac:dyDescent="0.4">
      <c r="A197" s="10"/>
      <c r="B197" s="4" t="s">
        <v>1243</v>
      </c>
      <c r="C197" s="4">
        <v>13</v>
      </c>
      <c r="D197" s="4" t="s">
        <v>1240</v>
      </c>
      <c r="F197" s="14" t="s">
        <v>642</v>
      </c>
      <c r="H197" s="14"/>
      <c r="I197" s="14"/>
    </row>
    <row r="198" spans="1:17" x14ac:dyDescent="0.4">
      <c r="A198" s="10"/>
      <c r="E198" t="s">
        <v>618</v>
      </c>
      <c r="F198" s="14" t="s">
        <v>619</v>
      </c>
      <c r="G198" t="s">
        <v>643</v>
      </c>
      <c r="H198" s="14"/>
      <c r="I198" s="14"/>
    </row>
    <row r="199" spans="1:17" x14ac:dyDescent="0.4">
      <c r="A199" s="10"/>
      <c r="E199" t="s">
        <v>644</v>
      </c>
      <c r="F199" s="14">
        <v>15091</v>
      </c>
      <c r="G199" s="16">
        <f>F199/$F$201</f>
        <v>0.34447259695496357</v>
      </c>
    </row>
    <row r="200" spans="1:17" x14ac:dyDescent="0.4">
      <c r="A200" s="10"/>
      <c r="E200" t="s">
        <v>627</v>
      </c>
      <c r="F200" s="14">
        <v>28718</v>
      </c>
      <c r="G200" s="16">
        <f t="shared" ref="G200" si="9">F200/$F$201</f>
        <v>0.65552740304503643</v>
      </c>
    </row>
    <row r="201" spans="1:17" x14ac:dyDescent="0.4">
      <c r="A201" s="10"/>
      <c r="E201" t="s">
        <v>622</v>
      </c>
      <c r="F201" s="14">
        <f>SUM(F199:F200)</f>
        <v>43809</v>
      </c>
      <c r="G201" s="12">
        <f>SUM(G199:G200)</f>
        <v>1</v>
      </c>
    </row>
    <row r="202" spans="1:17" x14ac:dyDescent="0.4">
      <c r="A202" s="10"/>
      <c r="E202" s="20" t="s">
        <v>645</v>
      </c>
    </row>
    <row r="203" spans="1:17" x14ac:dyDescent="0.4">
      <c r="A203" s="10"/>
    </row>
    <row r="204" spans="1:17" x14ac:dyDescent="0.4">
      <c r="A204" s="10"/>
      <c r="B204" s="4" t="s">
        <v>1243</v>
      </c>
      <c r="C204" s="4">
        <v>14</v>
      </c>
      <c r="D204" s="4" t="s">
        <v>1242</v>
      </c>
      <c r="E204" t="s">
        <v>647</v>
      </c>
      <c r="F204" t="s">
        <v>576</v>
      </c>
      <c r="K204"/>
    </row>
    <row r="205" spans="1:17" x14ac:dyDescent="0.4">
      <c r="A205" s="10"/>
      <c r="E205" s="90" t="s">
        <v>618</v>
      </c>
      <c r="F205" s="90">
        <v>23.06</v>
      </c>
      <c r="G205" s="90">
        <v>23.07</v>
      </c>
      <c r="H205" s="90">
        <v>23.08</v>
      </c>
      <c r="I205" s="90">
        <v>23.09</v>
      </c>
      <c r="J205" s="90">
        <v>23.1</v>
      </c>
      <c r="K205" s="90">
        <v>23.11</v>
      </c>
      <c r="L205" s="90">
        <v>23.12</v>
      </c>
      <c r="M205" s="90">
        <v>24.01</v>
      </c>
      <c r="N205" s="90">
        <v>24.02</v>
      </c>
      <c r="O205" s="90">
        <v>24.03</v>
      </c>
      <c r="P205" s="90">
        <v>24.04</v>
      </c>
      <c r="Q205" s="90">
        <v>24.05</v>
      </c>
    </row>
    <row r="206" spans="1:17" x14ac:dyDescent="0.4">
      <c r="A206" s="10"/>
      <c r="E206" t="s">
        <v>247</v>
      </c>
      <c r="F206">
        <v>164166</v>
      </c>
      <c r="G206">
        <v>160214</v>
      </c>
      <c r="H206">
        <v>155085</v>
      </c>
      <c r="I206">
        <v>150791</v>
      </c>
      <c r="J206">
        <v>148667</v>
      </c>
      <c r="K206">
        <v>145731</v>
      </c>
      <c r="L206">
        <v>143929</v>
      </c>
      <c r="M206">
        <v>129191</v>
      </c>
      <c r="N206">
        <v>72763</v>
      </c>
      <c r="O206">
        <v>65338</v>
      </c>
      <c r="P206">
        <v>63773</v>
      </c>
      <c r="Q206">
        <v>63174</v>
      </c>
    </row>
    <row r="207" spans="1:17" x14ac:dyDescent="0.4">
      <c r="A207" s="10"/>
      <c r="E207" t="s">
        <v>251</v>
      </c>
      <c r="F207">
        <v>140699</v>
      </c>
      <c r="G207">
        <v>136637</v>
      </c>
      <c r="H207">
        <v>131636</v>
      </c>
      <c r="I207">
        <v>127573</v>
      </c>
      <c r="J207">
        <v>125284</v>
      </c>
      <c r="K207">
        <v>122263</v>
      </c>
      <c r="L207">
        <v>120725</v>
      </c>
      <c r="M207">
        <v>105518</v>
      </c>
      <c r="N207">
        <v>49140</v>
      </c>
      <c r="O207">
        <v>42608</v>
      </c>
      <c r="P207">
        <v>41703</v>
      </c>
      <c r="Q207">
        <v>41224</v>
      </c>
    </row>
    <row r="208" spans="1:17" x14ac:dyDescent="0.4">
      <c r="A208" s="10"/>
      <c r="E208" t="s">
        <v>254</v>
      </c>
      <c r="F208">
        <v>23467</v>
      </c>
      <c r="G208">
        <v>23576</v>
      </c>
      <c r="H208">
        <v>23449</v>
      </c>
      <c r="I208">
        <v>23219</v>
      </c>
      <c r="J208">
        <v>23383</v>
      </c>
      <c r="K208">
        <v>23468</v>
      </c>
      <c r="L208">
        <v>23204</v>
      </c>
      <c r="M208">
        <v>23673</v>
      </c>
      <c r="N208">
        <v>23623</v>
      </c>
      <c r="O208">
        <v>22730</v>
      </c>
      <c r="P208">
        <v>22069</v>
      </c>
      <c r="Q208">
        <v>21950</v>
      </c>
    </row>
    <row r="209" spans="1:20" x14ac:dyDescent="0.4">
      <c r="A209" s="10"/>
      <c r="E209" t="s">
        <v>648</v>
      </c>
      <c r="F209">
        <v>1142</v>
      </c>
      <c r="G209">
        <v>1142</v>
      </c>
      <c r="H209">
        <v>1142</v>
      </c>
      <c r="I209">
        <v>1142</v>
      </c>
      <c r="J209">
        <v>1142</v>
      </c>
      <c r="K209">
        <v>1142</v>
      </c>
      <c r="L209">
        <v>1142</v>
      </c>
      <c r="M209">
        <v>1142</v>
      </c>
      <c r="N209">
        <v>1142</v>
      </c>
      <c r="O209">
        <v>1142</v>
      </c>
      <c r="P209">
        <v>1142</v>
      </c>
      <c r="Q209">
        <v>1142</v>
      </c>
    </row>
    <row r="210" spans="1:20" x14ac:dyDescent="0.4">
      <c r="A210" s="10"/>
      <c r="E210" t="s">
        <v>582</v>
      </c>
      <c r="F210">
        <v>2694</v>
      </c>
      <c r="G210">
        <v>2694</v>
      </c>
      <c r="H210">
        <v>2694</v>
      </c>
      <c r="I210">
        <v>2694</v>
      </c>
      <c r="J210">
        <v>2694</v>
      </c>
      <c r="K210">
        <v>2694</v>
      </c>
      <c r="L210">
        <v>2694</v>
      </c>
      <c r="M210">
        <v>2694</v>
      </c>
      <c r="N210">
        <v>2694</v>
      </c>
      <c r="O210">
        <v>2694</v>
      </c>
      <c r="P210">
        <v>2694</v>
      </c>
      <c r="Q210">
        <v>2694</v>
      </c>
    </row>
    <row r="211" spans="1:20" x14ac:dyDescent="0.4">
      <c r="A211" s="10"/>
      <c r="E211" t="s">
        <v>649</v>
      </c>
      <c r="F211">
        <v>405</v>
      </c>
      <c r="G211">
        <v>515</v>
      </c>
      <c r="H211">
        <v>387</v>
      </c>
      <c r="I211">
        <v>157</v>
      </c>
      <c r="J211">
        <v>321</v>
      </c>
      <c r="K211">
        <v>406</v>
      </c>
      <c r="L211">
        <v>142</v>
      </c>
      <c r="M211">
        <v>469</v>
      </c>
      <c r="N211">
        <v>419</v>
      </c>
      <c r="O211">
        <v>-474</v>
      </c>
      <c r="P211">
        <v>-1135</v>
      </c>
      <c r="Q211">
        <v>-1254</v>
      </c>
    </row>
    <row r="212" spans="1:20" x14ac:dyDescent="0.4">
      <c r="A212" s="10"/>
      <c r="E212" t="s">
        <v>650</v>
      </c>
      <c r="F212">
        <v>868</v>
      </c>
      <c r="G212">
        <v>427</v>
      </c>
      <c r="H212">
        <v>265</v>
      </c>
      <c r="I212">
        <v>536</v>
      </c>
      <c r="J212">
        <v>144</v>
      </c>
      <c r="K212">
        <v>472</v>
      </c>
      <c r="L212">
        <v>414</v>
      </c>
      <c r="M212">
        <v>198</v>
      </c>
      <c r="N212">
        <v>102</v>
      </c>
      <c r="O212">
        <v>131</v>
      </c>
      <c r="P212">
        <v>178</v>
      </c>
      <c r="Q212">
        <v>321</v>
      </c>
    </row>
    <row r="213" spans="1:20" x14ac:dyDescent="0.4">
      <c r="A213" s="10"/>
      <c r="E213" t="s">
        <v>651</v>
      </c>
      <c r="F213">
        <v>6867</v>
      </c>
      <c r="G213">
        <v>3497</v>
      </c>
      <c r="H213">
        <v>940</v>
      </c>
      <c r="I213">
        <v>2513</v>
      </c>
      <c r="J213">
        <v>631</v>
      </c>
      <c r="K213">
        <v>2219</v>
      </c>
      <c r="L213">
        <v>2140</v>
      </c>
      <c r="M213">
        <v>1936</v>
      </c>
      <c r="N213">
        <v>5211</v>
      </c>
      <c r="O213">
        <v>10529</v>
      </c>
      <c r="P213">
        <v>3970</v>
      </c>
      <c r="Q213">
        <v>5223</v>
      </c>
    </row>
    <row r="214" spans="1:20" x14ac:dyDescent="0.4">
      <c r="A214" s="10"/>
      <c r="E214" t="s">
        <v>652</v>
      </c>
      <c r="F214">
        <v>18626</v>
      </c>
      <c r="G214">
        <v>17188</v>
      </c>
      <c r="H214">
        <v>16874</v>
      </c>
      <c r="I214">
        <v>16971</v>
      </c>
      <c r="J214">
        <v>16490</v>
      </c>
      <c r="K214">
        <v>16496</v>
      </c>
      <c r="L214">
        <v>15705</v>
      </c>
      <c r="M214">
        <v>11793</v>
      </c>
      <c r="N214">
        <v>2499</v>
      </c>
      <c r="O214">
        <v>2454</v>
      </c>
      <c r="P214">
        <v>2579</v>
      </c>
      <c r="Q214">
        <v>2851</v>
      </c>
    </row>
    <row r="215" spans="1:20" x14ac:dyDescent="0.4">
      <c r="A215" s="10"/>
      <c r="E215" t="s">
        <v>568</v>
      </c>
      <c r="F215">
        <v>148454</v>
      </c>
      <c r="G215">
        <v>140088</v>
      </c>
      <c r="H215">
        <v>135525</v>
      </c>
      <c r="I215">
        <v>132827</v>
      </c>
      <c r="J215">
        <v>128109</v>
      </c>
      <c r="K215">
        <v>126387</v>
      </c>
      <c r="L215">
        <v>119583</v>
      </c>
      <c r="M215">
        <v>97581</v>
      </c>
      <c r="N215">
        <v>48693</v>
      </c>
      <c r="O215">
        <v>44294</v>
      </c>
      <c r="P215">
        <v>45625</v>
      </c>
      <c r="Q215">
        <v>43809</v>
      </c>
    </row>
    <row r="216" spans="1:20" x14ac:dyDescent="0.4">
      <c r="A216" s="10"/>
      <c r="E216" t="s">
        <v>653</v>
      </c>
      <c r="F216">
        <v>139235</v>
      </c>
      <c r="G216">
        <v>135230</v>
      </c>
      <c r="H216">
        <v>130273</v>
      </c>
      <c r="I216">
        <v>126159</v>
      </c>
      <c r="J216">
        <v>123913</v>
      </c>
      <c r="K216">
        <v>120874</v>
      </c>
      <c r="L216">
        <v>118566</v>
      </c>
      <c r="M216">
        <v>96870</v>
      </c>
      <c r="N216">
        <v>47634</v>
      </c>
      <c r="O216">
        <v>41475</v>
      </c>
      <c r="P216">
        <v>40518</v>
      </c>
      <c r="Q216">
        <v>40057</v>
      </c>
    </row>
    <row r="217" spans="1:20" x14ac:dyDescent="0.4">
      <c r="A217" s="10"/>
      <c r="E217" s="15"/>
      <c r="F217" s="15"/>
      <c r="G217" s="15"/>
      <c r="H217" s="15"/>
      <c r="I217" s="15"/>
    </row>
    <row r="218" spans="1:20" x14ac:dyDescent="0.4">
      <c r="A218" s="10"/>
      <c r="E218" s="15"/>
      <c r="F218" s="15"/>
      <c r="G218" s="15"/>
      <c r="H218" s="15"/>
      <c r="I218" s="15"/>
    </row>
    <row r="219" spans="1:20" x14ac:dyDescent="0.4">
      <c r="A219" s="10"/>
      <c r="B219" s="4" t="s">
        <v>1245</v>
      </c>
      <c r="C219" s="4">
        <v>15</v>
      </c>
      <c r="D219" s="4" t="s">
        <v>1244</v>
      </c>
      <c r="E219" t="s">
        <v>670</v>
      </c>
      <c r="F219" t="s">
        <v>671</v>
      </c>
      <c r="K219"/>
    </row>
    <row r="220" spans="1:20" x14ac:dyDescent="0.4">
      <c r="A220" s="10"/>
      <c r="E220" s="90" t="s">
        <v>618</v>
      </c>
      <c r="F220" s="90"/>
      <c r="G220" s="95">
        <v>23.06</v>
      </c>
      <c r="H220" s="95">
        <v>23.07</v>
      </c>
      <c r="I220" s="95">
        <v>23.08</v>
      </c>
      <c r="J220" s="95">
        <v>23.09</v>
      </c>
      <c r="K220" s="95">
        <v>23.1</v>
      </c>
      <c r="L220" s="95">
        <v>23.11</v>
      </c>
      <c r="M220" s="95">
        <v>23.12</v>
      </c>
      <c r="N220" s="95">
        <v>24.01</v>
      </c>
      <c r="O220" s="95">
        <v>24.02</v>
      </c>
      <c r="P220" s="95">
        <v>24.03</v>
      </c>
      <c r="Q220" s="95">
        <v>24.04</v>
      </c>
      <c r="R220" s="95">
        <v>24.05</v>
      </c>
    </row>
    <row r="221" spans="1:20" x14ac:dyDescent="0.4">
      <c r="A221" s="10"/>
      <c r="E221" t="s">
        <v>654</v>
      </c>
      <c r="F221" t="s">
        <v>655</v>
      </c>
      <c r="G221" s="14">
        <v>3235</v>
      </c>
      <c r="H221" s="14">
        <v>1670</v>
      </c>
      <c r="I221" s="14">
        <v>495</v>
      </c>
      <c r="J221" s="14">
        <v>1566</v>
      </c>
      <c r="K221" s="14">
        <v>439</v>
      </c>
      <c r="L221" s="14">
        <v>1290</v>
      </c>
      <c r="M221" s="14">
        <v>890</v>
      </c>
      <c r="N221" s="14">
        <v>1063</v>
      </c>
      <c r="O221" s="14">
        <v>1597</v>
      </c>
      <c r="P221" s="14">
        <v>2369</v>
      </c>
      <c r="Q221" s="14">
        <v>3278</v>
      </c>
      <c r="R221" s="14">
        <v>4056</v>
      </c>
    </row>
    <row r="222" spans="1:20" x14ac:dyDescent="0.4">
      <c r="A222" s="10"/>
      <c r="F222" t="s">
        <v>656</v>
      </c>
      <c r="G222" s="14">
        <v>3632</v>
      </c>
      <c r="H222" s="14">
        <v>1827</v>
      </c>
      <c r="I222" s="14">
        <v>445</v>
      </c>
      <c r="J222" s="14">
        <v>947</v>
      </c>
      <c r="K222" s="14">
        <v>192</v>
      </c>
      <c r="L222" s="14">
        <v>929</v>
      </c>
      <c r="M222" s="14">
        <v>1250</v>
      </c>
      <c r="N222" s="14">
        <v>873</v>
      </c>
      <c r="O222" s="14">
        <v>3614</v>
      </c>
      <c r="P222" s="14">
        <v>8160</v>
      </c>
      <c r="Q222" s="14">
        <v>692</v>
      </c>
      <c r="R222" s="14">
        <v>1167</v>
      </c>
    </row>
    <row r="223" spans="1:20" x14ac:dyDescent="0.4">
      <c r="A223" s="10"/>
      <c r="F223" s="37" t="s">
        <v>657</v>
      </c>
      <c r="G223" s="38">
        <f>SUM(G221:G222)</f>
        <v>6867</v>
      </c>
      <c r="H223" s="38">
        <f t="shared" ref="H223:R223" si="10">SUM(H221:H222)</f>
        <v>3497</v>
      </c>
      <c r="I223" s="38">
        <f t="shared" si="10"/>
        <v>940</v>
      </c>
      <c r="J223" s="38">
        <f t="shared" si="10"/>
        <v>2513</v>
      </c>
      <c r="K223" s="38">
        <f t="shared" si="10"/>
        <v>631</v>
      </c>
      <c r="L223" s="38">
        <f t="shared" si="10"/>
        <v>2219</v>
      </c>
      <c r="M223" s="38">
        <f t="shared" si="10"/>
        <v>2140</v>
      </c>
      <c r="N223" s="38">
        <f t="shared" si="10"/>
        <v>1936</v>
      </c>
      <c r="O223" s="38">
        <f t="shared" si="10"/>
        <v>5211</v>
      </c>
      <c r="P223" s="38">
        <f t="shared" si="10"/>
        <v>10529</v>
      </c>
      <c r="Q223" s="38">
        <f t="shared" si="10"/>
        <v>3970</v>
      </c>
      <c r="R223" s="38">
        <f t="shared" si="10"/>
        <v>5223</v>
      </c>
      <c r="T223" t="s">
        <v>672</v>
      </c>
    </row>
    <row r="224" spans="1:20" x14ac:dyDescent="0.4">
      <c r="A224" s="10"/>
      <c r="E224" t="s">
        <v>658</v>
      </c>
      <c r="G224" s="14">
        <v>6498</v>
      </c>
      <c r="H224" s="14">
        <v>4236</v>
      </c>
      <c r="I224" s="14">
        <v>5161</v>
      </c>
      <c r="J224" s="14">
        <v>5190</v>
      </c>
      <c r="K224" s="14">
        <v>4429</v>
      </c>
      <c r="L224" s="14">
        <v>3901</v>
      </c>
      <c r="M224" s="14">
        <v>3859</v>
      </c>
      <c r="N224" s="14">
        <v>4764</v>
      </c>
      <c r="O224" s="14">
        <v>1963</v>
      </c>
      <c r="P224" s="14">
        <v>998</v>
      </c>
      <c r="Q224" s="14">
        <v>2831</v>
      </c>
      <c r="R224" s="14">
        <v>7320</v>
      </c>
    </row>
    <row r="225" spans="1:20" x14ac:dyDescent="0.4">
      <c r="A225" s="10"/>
      <c r="E225" t="s">
        <v>659</v>
      </c>
      <c r="G225" s="14">
        <v>2001</v>
      </c>
      <c r="H225" s="14">
        <v>1971</v>
      </c>
      <c r="I225" s="14">
        <v>1980</v>
      </c>
      <c r="J225" s="14">
        <v>1850</v>
      </c>
      <c r="K225" s="14">
        <v>1897</v>
      </c>
      <c r="L225" s="14">
        <v>1747</v>
      </c>
      <c r="M225" s="14">
        <v>1651</v>
      </c>
      <c r="N225" s="14">
        <v>1847</v>
      </c>
      <c r="O225" s="14">
        <v>936</v>
      </c>
      <c r="P225" s="14">
        <v>289</v>
      </c>
      <c r="Q225" s="14">
        <v>384</v>
      </c>
      <c r="R225" s="14">
        <v>485</v>
      </c>
    </row>
    <row r="226" spans="1:20" x14ac:dyDescent="0.4">
      <c r="A226" s="10"/>
      <c r="E226" t="s">
        <v>380</v>
      </c>
      <c r="G226" s="14">
        <v>148454</v>
      </c>
      <c r="H226" s="14">
        <v>140088</v>
      </c>
      <c r="I226" s="14">
        <v>135525</v>
      </c>
      <c r="J226" s="14">
        <v>132827</v>
      </c>
      <c r="K226" s="14">
        <v>128109</v>
      </c>
      <c r="L226" s="14">
        <v>126387</v>
      </c>
      <c r="M226" s="14">
        <v>119583</v>
      </c>
      <c r="N226" s="14">
        <v>97581</v>
      </c>
      <c r="O226" s="14">
        <v>48693</v>
      </c>
      <c r="P226" s="14">
        <v>44294</v>
      </c>
      <c r="Q226" s="14">
        <v>45625</v>
      </c>
      <c r="R226" s="14">
        <v>43809</v>
      </c>
    </row>
    <row r="227" spans="1:20" x14ac:dyDescent="0.4">
      <c r="A227" s="10"/>
      <c r="E227" t="s">
        <v>660</v>
      </c>
      <c r="G227" s="14">
        <v>34</v>
      </c>
      <c r="H227" s="14">
        <v>-8366</v>
      </c>
      <c r="I227" s="14">
        <v>-4563</v>
      </c>
      <c r="J227" s="14">
        <v>-2698</v>
      </c>
      <c r="K227" s="14">
        <v>-4718</v>
      </c>
      <c r="L227" s="14">
        <v>-1721</v>
      </c>
      <c r="M227" s="14">
        <v>-6804</v>
      </c>
      <c r="N227" s="14">
        <v>-22002</v>
      </c>
      <c r="O227" s="14">
        <v>-48888</v>
      </c>
      <c r="P227" s="14">
        <v>-4399</v>
      </c>
      <c r="Q227" s="14">
        <v>1331</v>
      </c>
      <c r="R227" s="14">
        <v>-1815</v>
      </c>
    </row>
    <row r="228" spans="1:20" x14ac:dyDescent="0.4">
      <c r="A228" s="10"/>
      <c r="E228" t="s">
        <v>661</v>
      </c>
      <c r="G228" s="14">
        <v>868</v>
      </c>
      <c r="H228" s="14">
        <v>427</v>
      </c>
      <c r="I228" s="14">
        <v>265</v>
      </c>
      <c r="J228" s="14">
        <v>536</v>
      </c>
      <c r="K228" s="14">
        <v>144</v>
      </c>
      <c r="L228" s="14">
        <v>472</v>
      </c>
      <c r="M228" s="14">
        <v>414</v>
      </c>
      <c r="N228" s="14">
        <v>198</v>
      </c>
      <c r="O228" s="14">
        <v>102</v>
      </c>
      <c r="P228" s="14">
        <v>131</v>
      </c>
      <c r="Q228" s="14">
        <v>178</v>
      </c>
      <c r="R228" s="14">
        <v>321</v>
      </c>
    </row>
    <row r="229" spans="1:20" x14ac:dyDescent="0.4">
      <c r="A229" s="10"/>
      <c r="E229" t="s">
        <v>662</v>
      </c>
      <c r="G229" s="14">
        <v>8</v>
      </c>
      <c r="H229" s="14">
        <v>8</v>
      </c>
      <c r="I229" s="14">
        <v>4</v>
      </c>
      <c r="J229" s="14">
        <v>5</v>
      </c>
      <c r="K229" s="14">
        <v>4</v>
      </c>
      <c r="L229" s="14">
        <v>5</v>
      </c>
      <c r="M229" s="14">
        <v>5</v>
      </c>
      <c r="N229" s="14">
        <v>10</v>
      </c>
      <c r="O229" s="14">
        <v>51</v>
      </c>
      <c r="P229" s="14">
        <v>80</v>
      </c>
      <c r="Q229" s="14">
        <v>22</v>
      </c>
      <c r="R229" s="14">
        <v>16</v>
      </c>
    </row>
    <row r="230" spans="1:20" x14ac:dyDescent="0.4">
      <c r="A230" s="10"/>
      <c r="E230" t="s">
        <v>663</v>
      </c>
      <c r="G230" s="14">
        <v>0.19500000000000001</v>
      </c>
      <c r="H230" s="14">
        <v>0.182</v>
      </c>
      <c r="I230" s="14">
        <v>0.182</v>
      </c>
      <c r="J230" s="14">
        <v>0.183</v>
      </c>
      <c r="K230" s="14">
        <v>0.183</v>
      </c>
      <c r="L230" s="14">
        <v>0.183</v>
      </c>
      <c r="M230" s="14">
        <v>0.182</v>
      </c>
      <c r="N230" s="14">
        <v>0.17799999999999999</v>
      </c>
      <c r="O230" s="14">
        <v>0.151</v>
      </c>
      <c r="P230" s="14">
        <v>0.156</v>
      </c>
      <c r="Q230" s="14">
        <v>0.159</v>
      </c>
      <c r="R230" s="14">
        <v>0.16600000000000001</v>
      </c>
    </row>
    <row r="231" spans="1:20" x14ac:dyDescent="0.4">
      <c r="A231" s="10"/>
      <c r="E231" t="s">
        <v>664</v>
      </c>
      <c r="G231" s="14">
        <v>14157</v>
      </c>
      <c r="H231" s="14">
        <v>13066</v>
      </c>
      <c r="I231" s="14">
        <v>13048</v>
      </c>
      <c r="J231" s="14">
        <v>13449</v>
      </c>
      <c r="K231" s="14">
        <v>13110</v>
      </c>
      <c r="L231" s="14">
        <v>13432</v>
      </c>
      <c r="M231" s="14">
        <v>13160</v>
      </c>
      <c r="N231" s="14">
        <v>9673</v>
      </c>
      <c r="O231" s="14">
        <v>1489</v>
      </c>
      <c r="P231" s="14">
        <v>1474</v>
      </c>
      <c r="Q231" s="14">
        <v>1436</v>
      </c>
      <c r="R231" s="14">
        <v>1432</v>
      </c>
    </row>
    <row r="232" spans="1:20" x14ac:dyDescent="0.4">
      <c r="A232" s="10"/>
      <c r="E232" t="s">
        <v>665</v>
      </c>
      <c r="G232" s="14">
        <v>21571</v>
      </c>
      <c r="H232" s="14">
        <v>19961</v>
      </c>
      <c r="I232" s="14">
        <v>19581</v>
      </c>
      <c r="J232" s="14">
        <v>19559</v>
      </c>
      <c r="K232" s="14">
        <v>18842</v>
      </c>
      <c r="L232" s="14">
        <v>18733</v>
      </c>
      <c r="M232" s="14">
        <v>17579</v>
      </c>
      <c r="N232" s="14">
        <v>13220</v>
      </c>
      <c r="O232" s="14">
        <v>2196</v>
      </c>
      <c r="P232" s="14">
        <v>2179</v>
      </c>
      <c r="Q232" s="14">
        <v>2169</v>
      </c>
      <c r="R232" s="14">
        <v>2281</v>
      </c>
    </row>
    <row r="233" spans="1:20" x14ac:dyDescent="0.4">
      <c r="A233" s="10"/>
      <c r="E233" t="s">
        <v>666</v>
      </c>
      <c r="G233" s="14">
        <v>13737</v>
      </c>
      <c r="H233" s="14">
        <v>12572</v>
      </c>
      <c r="I233" s="14">
        <v>12162</v>
      </c>
      <c r="J233" s="14">
        <v>12151</v>
      </c>
      <c r="K233" s="14">
        <v>11679</v>
      </c>
      <c r="L233" s="14">
        <v>11514</v>
      </c>
      <c r="M233" s="14">
        <v>10681</v>
      </c>
      <c r="N233" s="14">
        <v>7908</v>
      </c>
      <c r="O233" s="14">
        <v>1313</v>
      </c>
      <c r="P233" s="14">
        <v>1306</v>
      </c>
      <c r="Q233" s="14">
        <v>1299</v>
      </c>
      <c r="R233" s="14">
        <v>1731</v>
      </c>
    </row>
    <row r="234" spans="1:20" x14ac:dyDescent="0.4">
      <c r="A234" s="10"/>
      <c r="E234" t="s">
        <v>667</v>
      </c>
      <c r="G234" s="14">
        <v>22370</v>
      </c>
      <c r="H234" s="14">
        <v>20321</v>
      </c>
      <c r="I234" s="14">
        <v>19620</v>
      </c>
      <c r="J234" s="14">
        <v>19465</v>
      </c>
      <c r="K234" s="14">
        <v>18779</v>
      </c>
      <c r="L234" s="14">
        <v>18579</v>
      </c>
      <c r="M234" s="14">
        <v>17313</v>
      </c>
      <c r="N234" s="14">
        <v>12968</v>
      </c>
      <c r="O234" s="14">
        <v>3187</v>
      </c>
      <c r="P234" s="14">
        <v>3445</v>
      </c>
      <c r="Q234" s="14">
        <v>3855</v>
      </c>
      <c r="R234" s="14">
        <v>4520</v>
      </c>
    </row>
    <row r="235" spans="1:20" x14ac:dyDescent="0.4">
      <c r="A235" s="10"/>
      <c r="E235" t="s">
        <v>668</v>
      </c>
      <c r="G235" s="14">
        <v>30089</v>
      </c>
      <c r="H235" s="14">
        <v>27669</v>
      </c>
      <c r="I235" s="14">
        <v>26638</v>
      </c>
      <c r="J235" s="14">
        <v>26037</v>
      </c>
      <c r="K235" s="14">
        <v>25209</v>
      </c>
      <c r="L235" s="14">
        <v>24645</v>
      </c>
      <c r="M235" s="14">
        <v>22498</v>
      </c>
      <c r="N235" s="14">
        <v>16924</v>
      </c>
      <c r="O235" s="14">
        <v>5936</v>
      </c>
      <c r="P235" s="14">
        <v>6765</v>
      </c>
      <c r="Q235" s="14">
        <v>7493</v>
      </c>
      <c r="R235" s="14">
        <v>8611</v>
      </c>
    </row>
    <row r="236" spans="1:20" x14ac:dyDescent="0.4">
      <c r="A236" s="10"/>
      <c r="E236" t="s">
        <v>669</v>
      </c>
      <c r="G236" s="14">
        <v>46530</v>
      </c>
      <c r="H236" s="14">
        <v>46499</v>
      </c>
      <c r="I236" s="14">
        <v>44476</v>
      </c>
      <c r="J236" s="14">
        <v>42167</v>
      </c>
      <c r="K236" s="14">
        <v>40489</v>
      </c>
      <c r="L236" s="14">
        <v>39484</v>
      </c>
      <c r="M236" s="14">
        <v>38352</v>
      </c>
      <c r="N236" s="14">
        <v>36887</v>
      </c>
      <c r="O236" s="14">
        <v>34571</v>
      </c>
      <c r="P236" s="14">
        <v>29125</v>
      </c>
      <c r="Q236" s="14">
        <v>29372</v>
      </c>
      <c r="R236" s="14">
        <v>25234</v>
      </c>
    </row>
    <row r="237" spans="1:20" x14ac:dyDescent="0.4">
      <c r="A237" s="10"/>
    </row>
    <row r="238" spans="1:20" x14ac:dyDescent="0.4">
      <c r="A238" s="10"/>
      <c r="G238" s="28">
        <f>SUM(G231:G236)-G226</f>
        <v>0</v>
      </c>
      <c r="H238" s="28">
        <f t="shared" ref="H238:R238" si="11">SUM(H231:H236)-H226</f>
        <v>0</v>
      </c>
      <c r="I238" s="28">
        <f t="shared" si="11"/>
        <v>0</v>
      </c>
      <c r="J238" s="28">
        <f t="shared" si="11"/>
        <v>1</v>
      </c>
      <c r="K238" s="28">
        <f t="shared" si="11"/>
        <v>-1</v>
      </c>
      <c r="L238" s="28">
        <f t="shared" si="11"/>
        <v>0</v>
      </c>
      <c r="M238" s="28">
        <f t="shared" si="11"/>
        <v>0</v>
      </c>
      <c r="N238" s="28">
        <f t="shared" si="11"/>
        <v>-1</v>
      </c>
      <c r="O238" s="28">
        <f t="shared" si="11"/>
        <v>-1</v>
      </c>
      <c r="P238" s="28">
        <f t="shared" si="11"/>
        <v>0</v>
      </c>
      <c r="Q238" s="28">
        <f t="shared" si="11"/>
        <v>-1</v>
      </c>
      <c r="R238" s="28">
        <f t="shared" si="11"/>
        <v>0</v>
      </c>
      <c r="T238" t="s">
        <v>672</v>
      </c>
    </row>
    <row r="239" spans="1:20" x14ac:dyDescent="0.4">
      <c r="A239" s="10"/>
      <c r="G239" s="28"/>
      <c r="H239" s="28"/>
      <c r="I239" s="28"/>
      <c r="J239" s="28"/>
      <c r="K239" s="28"/>
      <c r="L239" s="28"/>
      <c r="M239" s="28"/>
      <c r="N239" s="28"/>
      <c r="O239" s="28"/>
      <c r="P239" s="28"/>
      <c r="Q239" s="28"/>
      <c r="R239" s="28"/>
    </row>
    <row r="240" spans="1:20" x14ac:dyDescent="0.4">
      <c r="A240" s="10"/>
      <c r="G240" s="28"/>
      <c r="H240" s="28"/>
      <c r="I240" s="28"/>
      <c r="J240" s="28"/>
      <c r="K240" s="28"/>
      <c r="L240" s="28"/>
      <c r="M240" s="28"/>
      <c r="N240" s="28"/>
      <c r="O240" s="28"/>
      <c r="P240" s="28"/>
      <c r="Q240" s="28"/>
      <c r="R240" s="28"/>
    </row>
    <row r="241" spans="1:18" x14ac:dyDescent="0.4">
      <c r="A241" s="10"/>
      <c r="B241" s="4" t="s">
        <v>1225</v>
      </c>
      <c r="C241" s="4">
        <v>16</v>
      </c>
      <c r="D241" s="4" t="s">
        <v>1246</v>
      </c>
      <c r="E241" t="s">
        <v>673</v>
      </c>
      <c r="F241" s="4" t="s">
        <v>675</v>
      </c>
    </row>
    <row r="242" spans="1:18" x14ac:dyDescent="0.4">
      <c r="A242" s="10"/>
      <c r="E242" t="s">
        <v>618</v>
      </c>
      <c r="F242">
        <v>23.06</v>
      </c>
      <c r="G242">
        <v>23.07</v>
      </c>
      <c r="H242">
        <v>23.08</v>
      </c>
      <c r="I242">
        <v>23.09</v>
      </c>
      <c r="J242">
        <v>23.1</v>
      </c>
      <c r="K242" s="4">
        <v>23.11</v>
      </c>
      <c r="L242">
        <v>23.12</v>
      </c>
      <c r="M242">
        <v>24.01</v>
      </c>
      <c r="N242">
        <v>24.02</v>
      </c>
      <c r="O242">
        <v>24.03</v>
      </c>
      <c r="P242">
        <v>24.04</v>
      </c>
      <c r="Q242">
        <v>24.05</v>
      </c>
    </row>
    <row r="243" spans="1:18" x14ac:dyDescent="0.4">
      <c r="A243" s="10"/>
      <c r="E243" t="s">
        <v>247</v>
      </c>
      <c r="F243" s="14">
        <v>164166</v>
      </c>
      <c r="G243" s="14">
        <v>160214</v>
      </c>
      <c r="H243" s="14">
        <v>155085</v>
      </c>
      <c r="I243" s="14">
        <v>150791</v>
      </c>
      <c r="J243" s="14">
        <v>148667</v>
      </c>
      <c r="K243" s="39">
        <v>145731</v>
      </c>
      <c r="L243" s="14">
        <v>143929</v>
      </c>
      <c r="M243" s="14">
        <v>129191</v>
      </c>
      <c r="N243" s="14">
        <v>72763</v>
      </c>
      <c r="O243" s="14">
        <v>65338</v>
      </c>
      <c r="P243" s="14">
        <v>63773</v>
      </c>
      <c r="Q243" s="14">
        <v>63174</v>
      </c>
    </row>
    <row r="244" spans="1:18" x14ac:dyDescent="0.4">
      <c r="A244" s="10"/>
      <c r="E244" t="s">
        <v>254</v>
      </c>
      <c r="F244" s="14">
        <v>23467</v>
      </c>
      <c r="G244" s="14">
        <v>23576</v>
      </c>
      <c r="H244" s="14">
        <v>23449</v>
      </c>
      <c r="I244" s="14">
        <v>23219</v>
      </c>
      <c r="J244" s="14">
        <v>23383</v>
      </c>
      <c r="K244" s="39">
        <v>23468</v>
      </c>
      <c r="L244" s="14">
        <v>23204</v>
      </c>
      <c r="M244" s="14">
        <v>23673</v>
      </c>
      <c r="N244" s="14">
        <v>23623</v>
      </c>
      <c r="O244" s="14">
        <v>22730</v>
      </c>
      <c r="P244" s="14">
        <v>22069</v>
      </c>
      <c r="Q244" s="14">
        <v>21950</v>
      </c>
    </row>
    <row r="245" spans="1:18" x14ac:dyDescent="0.4">
      <c r="A245" s="10"/>
      <c r="E245" t="s">
        <v>674</v>
      </c>
      <c r="F245" s="14">
        <v>7</v>
      </c>
      <c r="G245" s="14">
        <v>6.8</v>
      </c>
      <c r="H245" s="14">
        <v>6.61</v>
      </c>
      <c r="I245" s="14">
        <v>6.49</v>
      </c>
      <c r="J245" s="14">
        <v>6.36</v>
      </c>
      <c r="K245" s="39">
        <v>6.21</v>
      </c>
      <c r="L245" s="14">
        <v>6.2</v>
      </c>
      <c r="M245" s="14">
        <v>5.46</v>
      </c>
      <c r="N245" s="14">
        <v>3.08</v>
      </c>
      <c r="O245" s="14">
        <v>2.88</v>
      </c>
      <c r="P245" s="14">
        <v>2.89</v>
      </c>
      <c r="Q245" s="14">
        <v>2.88</v>
      </c>
    </row>
    <row r="246" spans="1:18" x14ac:dyDescent="0.4">
      <c r="A246" s="10"/>
    </row>
    <row r="247" spans="1:18" x14ac:dyDescent="0.4">
      <c r="A247" s="10"/>
    </row>
    <row r="248" spans="1:18" x14ac:dyDescent="0.4">
      <c r="A248" s="10"/>
      <c r="B248" s="4" t="s">
        <v>1225</v>
      </c>
      <c r="C248" s="4">
        <v>17</v>
      </c>
      <c r="D248" s="4" t="s">
        <v>1247</v>
      </c>
      <c r="E248" t="s">
        <v>676</v>
      </c>
      <c r="F248" s="4" t="s">
        <v>576</v>
      </c>
    </row>
    <row r="249" spans="1:18" x14ac:dyDescent="0.4">
      <c r="A249" s="10"/>
      <c r="E249" t="s">
        <v>618</v>
      </c>
      <c r="G249" s="4">
        <v>23.06</v>
      </c>
      <c r="H249" s="4">
        <v>23.07</v>
      </c>
      <c r="I249" s="4">
        <v>23.08</v>
      </c>
      <c r="J249" s="4">
        <v>23.09</v>
      </c>
      <c r="K249" s="4">
        <v>23.1</v>
      </c>
      <c r="L249" s="4">
        <v>23.11</v>
      </c>
      <c r="M249" s="4">
        <v>23.12</v>
      </c>
      <c r="N249" s="4">
        <v>24.01</v>
      </c>
      <c r="O249" s="4">
        <v>24.02</v>
      </c>
      <c r="P249" s="4">
        <v>24.03</v>
      </c>
      <c r="Q249" s="4">
        <v>24.04</v>
      </c>
      <c r="R249" s="4">
        <v>24.05</v>
      </c>
    </row>
    <row r="250" spans="1:18" x14ac:dyDescent="0.4">
      <c r="A250" s="10"/>
      <c r="E250" t="s">
        <v>568</v>
      </c>
      <c r="G250" s="14">
        <v>148454</v>
      </c>
      <c r="H250" s="14">
        <v>140888</v>
      </c>
      <c r="I250" s="14">
        <v>135525</v>
      </c>
      <c r="J250" s="14">
        <v>132827</v>
      </c>
      <c r="K250" s="39">
        <v>128109</v>
      </c>
      <c r="L250" s="14">
        <v>126387</v>
      </c>
      <c r="M250" s="14">
        <v>119583</v>
      </c>
      <c r="N250" s="14">
        <v>97581</v>
      </c>
      <c r="O250" s="14">
        <v>48693</v>
      </c>
      <c r="P250" s="14">
        <v>44294</v>
      </c>
      <c r="Q250" s="14">
        <v>45625</v>
      </c>
      <c r="R250" s="14">
        <v>43809</v>
      </c>
    </row>
    <row r="251" spans="1:18" x14ac:dyDescent="0.4">
      <c r="A251" s="10"/>
      <c r="E251" t="s">
        <v>677</v>
      </c>
      <c r="F251" t="s">
        <v>678</v>
      </c>
      <c r="G251" s="14">
        <v>1515</v>
      </c>
      <c r="H251" s="14">
        <v>1635</v>
      </c>
      <c r="I251" s="14">
        <v>1699</v>
      </c>
      <c r="J251" s="14">
        <v>1977</v>
      </c>
      <c r="K251" s="39">
        <v>826</v>
      </c>
      <c r="L251" s="14">
        <v>2375</v>
      </c>
      <c r="M251" s="14">
        <v>1349</v>
      </c>
      <c r="N251" s="14">
        <v>1685</v>
      </c>
      <c r="O251" s="14">
        <v>911</v>
      </c>
      <c r="P251" s="14">
        <v>296</v>
      </c>
      <c r="Q251" s="14">
        <v>455</v>
      </c>
      <c r="R251" s="14">
        <v>362</v>
      </c>
    </row>
    <row r="252" spans="1:18" x14ac:dyDescent="0.4">
      <c r="A252" s="10"/>
      <c r="F252" t="s">
        <v>679</v>
      </c>
      <c r="G252" s="14">
        <v>1481</v>
      </c>
      <c r="H252" s="14">
        <v>2732</v>
      </c>
      <c r="I252" s="14">
        <v>1868</v>
      </c>
      <c r="J252" s="14">
        <v>1875</v>
      </c>
      <c r="K252" s="39">
        <v>3667</v>
      </c>
      <c r="L252" s="14">
        <v>1666</v>
      </c>
      <c r="M252" s="14">
        <v>1807</v>
      </c>
      <c r="N252" s="14">
        <v>2832</v>
      </c>
      <c r="O252" s="14">
        <v>1427</v>
      </c>
      <c r="P252" s="14">
        <v>286</v>
      </c>
      <c r="Q252" s="14">
        <v>333</v>
      </c>
      <c r="R252" s="14">
        <v>677</v>
      </c>
    </row>
    <row r="253" spans="1:18" x14ac:dyDescent="0.4">
      <c r="A253" s="10"/>
      <c r="F253" t="s">
        <v>680</v>
      </c>
      <c r="G253" s="14">
        <v>15668</v>
      </c>
      <c r="H253" s="14">
        <v>10087</v>
      </c>
      <c r="I253" s="14">
        <v>11622</v>
      </c>
      <c r="J253" s="14">
        <v>12598</v>
      </c>
      <c r="K253" s="39">
        <v>12440</v>
      </c>
      <c r="L253" s="14">
        <v>14230</v>
      </c>
      <c r="M253" s="14">
        <v>9801</v>
      </c>
      <c r="N253" s="14">
        <v>10008</v>
      </c>
      <c r="O253" s="14">
        <v>12511</v>
      </c>
      <c r="P253" s="14">
        <v>12941</v>
      </c>
      <c r="Q253" s="14">
        <v>12760</v>
      </c>
      <c r="R253" s="14">
        <v>11897</v>
      </c>
    </row>
    <row r="254" spans="1:18" x14ac:dyDescent="0.4">
      <c r="A254" s="10"/>
      <c r="E254" t="s">
        <v>657</v>
      </c>
      <c r="G254" s="38">
        <v>18665</v>
      </c>
      <c r="H254" s="38">
        <v>14454</v>
      </c>
      <c r="I254" s="38">
        <v>15188</v>
      </c>
      <c r="J254" s="38">
        <v>16450</v>
      </c>
      <c r="K254" s="40">
        <v>16933</v>
      </c>
      <c r="L254" s="38">
        <v>18270</v>
      </c>
      <c r="M254" s="38">
        <v>12957</v>
      </c>
      <c r="N254" s="38">
        <v>14525</v>
      </c>
      <c r="O254" s="38">
        <v>14850</v>
      </c>
      <c r="P254" s="38">
        <v>13523</v>
      </c>
      <c r="Q254" s="38">
        <v>13548</v>
      </c>
      <c r="R254" s="38">
        <v>12936</v>
      </c>
    </row>
    <row r="255" spans="1:18" x14ac:dyDescent="0.4">
      <c r="A255" s="10"/>
      <c r="E255" t="s">
        <v>681</v>
      </c>
      <c r="F255" t="s">
        <v>678</v>
      </c>
      <c r="G255" s="14">
        <v>1.0200000000000001E-2</v>
      </c>
      <c r="H255" s="14">
        <v>1.17E-2</v>
      </c>
      <c r="I255" s="14">
        <v>1.2500000000000001E-2</v>
      </c>
      <c r="J255" s="14">
        <v>1.49E-2</v>
      </c>
      <c r="K255" s="39">
        <v>6.4000000000000003E-3</v>
      </c>
      <c r="L255" s="14">
        <v>1.8800000000000001E-2</v>
      </c>
      <c r="M255" s="14">
        <v>1.1299999999999999E-2</v>
      </c>
      <c r="N255" s="14">
        <v>1.7299999999999999E-2</v>
      </c>
      <c r="O255" s="14">
        <v>1.8700000000000001E-2</v>
      </c>
      <c r="P255" s="14">
        <v>6.7000000000000002E-3</v>
      </c>
      <c r="Q255" s="14">
        <v>0.01</v>
      </c>
      <c r="R255" s="14">
        <v>8.3000000000000001E-3</v>
      </c>
    </row>
    <row r="256" spans="1:18" x14ac:dyDescent="0.4">
      <c r="A256" s="10"/>
      <c r="F256" t="s">
        <v>679</v>
      </c>
      <c r="G256" s="14">
        <v>0.01</v>
      </c>
      <c r="H256" s="14">
        <v>1.95E-2</v>
      </c>
      <c r="I256" s="14">
        <v>1.38E-2</v>
      </c>
      <c r="J256" s="14">
        <v>1.41E-2</v>
      </c>
      <c r="K256" s="39">
        <v>2.86E-2</v>
      </c>
      <c r="L256" s="14">
        <v>1.32E-2</v>
      </c>
      <c r="M256" s="14">
        <v>1.5100000000000001E-2</v>
      </c>
      <c r="N256" s="14">
        <v>2.9000000000000001E-2</v>
      </c>
      <c r="O256" s="14">
        <v>2.93E-2</v>
      </c>
      <c r="P256" s="14">
        <v>6.4000000000000003E-3</v>
      </c>
      <c r="Q256" s="14">
        <v>7.3000000000000001E-3</v>
      </c>
      <c r="R256" s="14">
        <v>1.55E-2</v>
      </c>
    </row>
    <row r="257" spans="1:18" x14ac:dyDescent="0.4">
      <c r="A257" s="10"/>
      <c r="F257" t="s">
        <v>680</v>
      </c>
      <c r="G257" s="14">
        <v>0.1055</v>
      </c>
      <c r="H257" s="14">
        <v>7.1999999999999995E-2</v>
      </c>
      <c r="I257" s="14">
        <v>8.5800000000000001E-2</v>
      </c>
      <c r="J257" s="14">
        <v>9.4799999999999995E-2</v>
      </c>
      <c r="K257" s="39">
        <v>9.7100000000000006E-2</v>
      </c>
      <c r="L257" s="14">
        <v>0.11260000000000001</v>
      </c>
      <c r="M257" s="14">
        <v>8.2000000000000003E-2</v>
      </c>
      <c r="N257" s="14">
        <v>0.1026</v>
      </c>
      <c r="O257" s="14">
        <v>0.25690000000000002</v>
      </c>
      <c r="P257" s="14">
        <v>0.29220000000000002</v>
      </c>
      <c r="Q257" s="14">
        <v>0.2797</v>
      </c>
      <c r="R257" s="14">
        <v>0.27160000000000001</v>
      </c>
    </row>
    <row r="258" spans="1:18" x14ac:dyDescent="0.4">
      <c r="A258" s="10"/>
      <c r="E258" t="s">
        <v>657</v>
      </c>
      <c r="G258" s="38">
        <v>0.12570000000000001</v>
      </c>
      <c r="H258" s="38">
        <v>0.1032</v>
      </c>
      <c r="I258" s="38">
        <v>0.11210000000000001</v>
      </c>
      <c r="J258" s="38">
        <v>0.12379999999999999</v>
      </c>
      <c r="K258" s="40">
        <v>0.13220000000000001</v>
      </c>
      <c r="L258" s="38">
        <v>0.14460000000000001</v>
      </c>
      <c r="M258" s="38">
        <v>0.10829999999999999</v>
      </c>
      <c r="N258" s="38">
        <v>0.1489</v>
      </c>
      <c r="O258" s="38">
        <v>0.30499999999999999</v>
      </c>
      <c r="P258" s="38">
        <v>0.30530000000000002</v>
      </c>
      <c r="Q258" s="38">
        <v>0.29699999999999999</v>
      </c>
      <c r="R258" s="38">
        <v>0.29530000000000001</v>
      </c>
    </row>
    <row r="259" spans="1:18" x14ac:dyDescent="0.4">
      <c r="A259" s="10"/>
      <c r="E259" t="s">
        <v>269</v>
      </c>
      <c r="G259" s="14">
        <v>11698</v>
      </c>
      <c r="H259" s="14">
        <v>7733</v>
      </c>
      <c r="I259" s="14">
        <v>8334</v>
      </c>
      <c r="J259" s="14">
        <v>9122</v>
      </c>
      <c r="K259" s="39">
        <v>9126</v>
      </c>
      <c r="L259" s="14">
        <v>9800</v>
      </c>
      <c r="M259" s="14">
        <v>5768</v>
      </c>
      <c r="N259" s="14">
        <v>6715</v>
      </c>
      <c r="O259" s="14">
        <v>7496</v>
      </c>
      <c r="P259" s="14">
        <v>7950</v>
      </c>
      <c r="Q259" s="14">
        <v>8364</v>
      </c>
      <c r="R259" s="14">
        <v>8353</v>
      </c>
    </row>
    <row r="260" spans="1:18" x14ac:dyDescent="0.4">
      <c r="A260" s="10"/>
      <c r="E260" t="s">
        <v>682</v>
      </c>
      <c r="G260" s="14">
        <v>335</v>
      </c>
      <c r="H260" s="14">
        <v>-215</v>
      </c>
      <c r="I260" s="14">
        <v>60</v>
      </c>
      <c r="J260" s="14">
        <v>21</v>
      </c>
      <c r="K260" s="39">
        <v>29</v>
      </c>
      <c r="L260" s="14">
        <v>39</v>
      </c>
      <c r="M260" s="14">
        <v>136</v>
      </c>
      <c r="N260" s="14">
        <v>1</v>
      </c>
      <c r="O260" s="14">
        <v>3</v>
      </c>
      <c r="P260" s="14">
        <v>15</v>
      </c>
      <c r="Q260" s="14">
        <v>34</v>
      </c>
      <c r="R260" s="14">
        <v>6</v>
      </c>
    </row>
    <row r="261" spans="1:18" x14ac:dyDescent="0.4">
      <c r="A261" s="10"/>
      <c r="E261" t="s">
        <v>683</v>
      </c>
      <c r="G261" s="14" t="s">
        <v>15</v>
      </c>
      <c r="H261" s="14">
        <v>7843</v>
      </c>
      <c r="I261" s="14">
        <v>282</v>
      </c>
      <c r="J261" s="14" t="s">
        <v>15</v>
      </c>
      <c r="K261" s="39">
        <v>891</v>
      </c>
      <c r="L261" s="14" t="s">
        <v>15</v>
      </c>
      <c r="M261" s="14">
        <v>4972</v>
      </c>
      <c r="N261" s="14">
        <v>19173</v>
      </c>
      <c r="O261" s="14">
        <v>52132</v>
      </c>
      <c r="P261" s="14">
        <v>13915</v>
      </c>
      <c r="Q261" s="14">
        <v>-226</v>
      </c>
      <c r="R261" s="14">
        <v>-94</v>
      </c>
    </row>
    <row r="262" spans="1:18" x14ac:dyDescent="0.4">
      <c r="A262" s="10"/>
    </row>
    <row r="263" spans="1:18" x14ac:dyDescent="0.4">
      <c r="A263" s="10"/>
      <c r="B263" s="4" t="s">
        <v>1225</v>
      </c>
      <c r="C263" s="4">
        <v>18</v>
      </c>
      <c r="D263" s="4" t="s">
        <v>1248</v>
      </c>
      <c r="E263" t="s">
        <v>684</v>
      </c>
      <c r="F263" s="4" t="s">
        <v>576</v>
      </c>
    </row>
    <row r="264" spans="1:18" x14ac:dyDescent="0.4">
      <c r="A264" s="10"/>
      <c r="E264" s="4" t="s">
        <v>594</v>
      </c>
      <c r="F264" s="4"/>
      <c r="G264" s="4">
        <v>24.01</v>
      </c>
      <c r="H264" s="4"/>
      <c r="I264" s="4">
        <v>24.02</v>
      </c>
      <c r="J264" s="4"/>
      <c r="K264" s="4">
        <v>24.03</v>
      </c>
      <c r="L264" s="4"/>
      <c r="M264" s="4">
        <v>24.04</v>
      </c>
      <c r="N264" s="4"/>
      <c r="O264" s="4">
        <v>24.05</v>
      </c>
      <c r="P264" s="4"/>
      <c r="Q264" s="4">
        <v>24.06</v>
      </c>
    </row>
    <row r="265" spans="1:18" x14ac:dyDescent="0.4">
      <c r="A265" s="10"/>
      <c r="G265" t="s">
        <v>685</v>
      </c>
      <c r="H265" t="s">
        <v>686</v>
      </c>
      <c r="I265" t="s">
        <v>685</v>
      </c>
      <c r="J265" t="s">
        <v>686</v>
      </c>
      <c r="K265" s="4" t="s">
        <v>685</v>
      </c>
      <c r="L265" t="s">
        <v>686</v>
      </c>
      <c r="M265" t="s">
        <v>685</v>
      </c>
      <c r="N265" t="s">
        <v>686</v>
      </c>
      <c r="O265" t="s">
        <v>685</v>
      </c>
      <c r="P265" t="s">
        <v>686</v>
      </c>
      <c r="Q265" t="s">
        <v>685</v>
      </c>
      <c r="R265" t="s">
        <v>686</v>
      </c>
    </row>
    <row r="266" spans="1:18" x14ac:dyDescent="0.4">
      <c r="A266" s="10"/>
      <c r="E266" t="s">
        <v>687</v>
      </c>
      <c r="G266">
        <v>97581</v>
      </c>
      <c r="I266">
        <v>48693</v>
      </c>
      <c r="K266" s="4">
        <v>44294</v>
      </c>
      <c r="M266">
        <v>45625</v>
      </c>
      <c r="O266">
        <v>43809</v>
      </c>
      <c r="Q266">
        <v>45060</v>
      </c>
    </row>
    <row r="267" spans="1:18" x14ac:dyDescent="0.4">
      <c r="A267" s="10"/>
      <c r="E267" t="s">
        <v>688</v>
      </c>
      <c r="F267" t="s">
        <v>689</v>
      </c>
      <c r="G267">
        <v>164</v>
      </c>
      <c r="H267">
        <v>34</v>
      </c>
      <c r="I267">
        <v>18</v>
      </c>
      <c r="J267">
        <v>84</v>
      </c>
      <c r="K267" s="4">
        <v>5</v>
      </c>
      <c r="L267">
        <v>126</v>
      </c>
      <c r="M267">
        <v>25</v>
      </c>
      <c r="N267">
        <v>153</v>
      </c>
      <c r="O267">
        <v>194</v>
      </c>
      <c r="P267">
        <v>127</v>
      </c>
      <c r="Q267">
        <v>236</v>
      </c>
      <c r="R267">
        <v>115</v>
      </c>
    </row>
    <row r="268" spans="1:18" x14ac:dyDescent="0.4">
      <c r="A268" s="10"/>
      <c r="F268" t="s">
        <v>50</v>
      </c>
      <c r="G268">
        <v>1364</v>
      </c>
      <c r="H268">
        <v>572</v>
      </c>
      <c r="I268">
        <v>3663</v>
      </c>
      <c r="J268">
        <v>1548</v>
      </c>
      <c r="K268" s="4">
        <v>8178</v>
      </c>
      <c r="L268">
        <v>2351</v>
      </c>
      <c r="M268">
        <v>762</v>
      </c>
      <c r="N268">
        <v>3208</v>
      </c>
      <c r="O268">
        <v>2354</v>
      </c>
      <c r="P268">
        <v>2869</v>
      </c>
      <c r="Q268">
        <v>2229</v>
      </c>
      <c r="R268">
        <v>2408</v>
      </c>
    </row>
    <row r="269" spans="1:18" x14ac:dyDescent="0.4">
      <c r="A269" s="10"/>
      <c r="F269" t="s">
        <v>380</v>
      </c>
      <c r="G269">
        <v>1210</v>
      </c>
      <c r="H269">
        <v>560</v>
      </c>
      <c r="I269">
        <v>4846</v>
      </c>
      <c r="J269">
        <v>2054</v>
      </c>
      <c r="K269" s="4">
        <v>12958</v>
      </c>
      <c r="L269">
        <v>4186</v>
      </c>
      <c r="M269">
        <v>11597</v>
      </c>
      <c r="N269">
        <v>6827</v>
      </c>
      <c r="O269">
        <v>8862</v>
      </c>
      <c r="P269">
        <v>8972</v>
      </c>
      <c r="Q269">
        <v>8929</v>
      </c>
      <c r="R269">
        <v>10448</v>
      </c>
    </row>
    <row r="270" spans="1:18" x14ac:dyDescent="0.4">
      <c r="A270" s="10"/>
      <c r="E270" t="s">
        <v>690</v>
      </c>
      <c r="F270" t="s">
        <v>691</v>
      </c>
      <c r="G270">
        <v>0</v>
      </c>
      <c r="H270">
        <v>0</v>
      </c>
      <c r="I270">
        <v>0</v>
      </c>
      <c r="J270">
        <v>0</v>
      </c>
      <c r="K270" s="4">
        <v>10</v>
      </c>
      <c r="L270">
        <v>30</v>
      </c>
      <c r="M270">
        <v>10</v>
      </c>
      <c r="N270">
        <v>30</v>
      </c>
      <c r="O270">
        <v>15</v>
      </c>
      <c r="P270">
        <v>20</v>
      </c>
      <c r="Q270">
        <v>3</v>
      </c>
      <c r="R270">
        <v>80</v>
      </c>
    </row>
    <row r="271" spans="1:18" x14ac:dyDescent="0.4">
      <c r="A271" s="10"/>
      <c r="F271" t="s">
        <v>692</v>
      </c>
      <c r="G271">
        <v>0</v>
      </c>
      <c r="H271">
        <v>0</v>
      </c>
      <c r="I271">
        <v>0</v>
      </c>
      <c r="J271">
        <v>0</v>
      </c>
      <c r="K271" s="4">
        <v>0</v>
      </c>
      <c r="L271">
        <v>0</v>
      </c>
      <c r="M271">
        <v>0</v>
      </c>
      <c r="N271">
        <v>0</v>
      </c>
      <c r="O271">
        <v>7</v>
      </c>
      <c r="P271">
        <v>0</v>
      </c>
      <c r="Q271">
        <v>0</v>
      </c>
      <c r="R271">
        <v>0</v>
      </c>
    </row>
    <row r="272" spans="1:18" x14ac:dyDescent="0.4">
      <c r="A272" s="10"/>
      <c r="F272" t="s">
        <v>693</v>
      </c>
      <c r="G272">
        <v>0</v>
      </c>
      <c r="H272">
        <v>0</v>
      </c>
      <c r="I272">
        <v>0</v>
      </c>
      <c r="J272">
        <v>0</v>
      </c>
      <c r="K272" s="4">
        <v>0</v>
      </c>
      <c r="L272">
        <v>0</v>
      </c>
      <c r="M272">
        <v>0</v>
      </c>
      <c r="N272">
        <v>0</v>
      </c>
      <c r="O272">
        <v>10</v>
      </c>
      <c r="P272">
        <v>30</v>
      </c>
      <c r="Q272">
        <v>10</v>
      </c>
      <c r="R272">
        <v>30</v>
      </c>
    </row>
    <row r="273" spans="1:18" x14ac:dyDescent="0.4">
      <c r="A273" s="10"/>
      <c r="E273" s="37" t="s">
        <v>694</v>
      </c>
      <c r="F273" s="37"/>
      <c r="G273" s="37">
        <v>0</v>
      </c>
      <c r="H273" s="37">
        <v>0</v>
      </c>
      <c r="I273" s="37">
        <v>0</v>
      </c>
      <c r="J273" s="37">
        <v>0</v>
      </c>
      <c r="K273" s="41">
        <v>10</v>
      </c>
      <c r="L273" s="37">
        <v>30</v>
      </c>
      <c r="M273" s="37">
        <v>10</v>
      </c>
      <c r="N273" s="37">
        <v>30</v>
      </c>
      <c r="O273" s="37">
        <v>32</v>
      </c>
      <c r="P273" s="37">
        <v>50</v>
      </c>
      <c r="Q273" s="37">
        <v>13</v>
      </c>
      <c r="R273" s="37">
        <v>110</v>
      </c>
    </row>
    <row r="274" spans="1:18" x14ac:dyDescent="0.4">
      <c r="A274" s="10"/>
      <c r="E274" t="s">
        <v>695</v>
      </c>
      <c r="F274" t="s">
        <v>691</v>
      </c>
      <c r="G274">
        <v>0</v>
      </c>
      <c r="H274">
        <v>0</v>
      </c>
      <c r="I274">
        <v>0</v>
      </c>
      <c r="J274">
        <v>0</v>
      </c>
      <c r="K274" s="4">
        <v>0</v>
      </c>
      <c r="L274">
        <v>1E-3</v>
      </c>
      <c r="M274">
        <v>0</v>
      </c>
      <c r="N274">
        <v>1E-3</v>
      </c>
      <c r="O274">
        <v>0</v>
      </c>
      <c r="P274">
        <v>0</v>
      </c>
      <c r="Q274">
        <v>0</v>
      </c>
      <c r="R274">
        <v>2E-3</v>
      </c>
    </row>
    <row r="275" spans="1:18" x14ac:dyDescent="0.4">
      <c r="A275" s="10"/>
      <c r="F275" t="s">
        <v>692</v>
      </c>
      <c r="G275">
        <v>0</v>
      </c>
      <c r="H275">
        <v>0</v>
      </c>
      <c r="I275">
        <v>0</v>
      </c>
      <c r="J275">
        <v>0</v>
      </c>
      <c r="K275" s="4">
        <v>0</v>
      </c>
      <c r="L275">
        <v>0</v>
      </c>
      <c r="M275">
        <v>0</v>
      </c>
      <c r="N275">
        <v>0</v>
      </c>
      <c r="O275">
        <v>0</v>
      </c>
      <c r="P275">
        <v>0</v>
      </c>
      <c r="Q275">
        <v>0</v>
      </c>
      <c r="R275">
        <v>0</v>
      </c>
    </row>
    <row r="276" spans="1:18" x14ac:dyDescent="0.4">
      <c r="A276" s="10"/>
      <c r="F276" t="s">
        <v>693</v>
      </c>
      <c r="G276">
        <v>0</v>
      </c>
      <c r="H276">
        <v>0</v>
      </c>
      <c r="I276">
        <v>0</v>
      </c>
      <c r="J276">
        <v>0</v>
      </c>
      <c r="K276" s="4">
        <v>0</v>
      </c>
      <c r="L276">
        <v>0</v>
      </c>
      <c r="M276">
        <v>0</v>
      </c>
      <c r="N276">
        <v>0</v>
      </c>
      <c r="O276">
        <v>0</v>
      </c>
      <c r="P276">
        <v>1E-3</v>
      </c>
      <c r="Q276">
        <v>0</v>
      </c>
      <c r="R276">
        <v>1E-3</v>
      </c>
    </row>
    <row r="277" spans="1:18" x14ac:dyDescent="0.4">
      <c r="A277" s="10"/>
      <c r="E277" s="37" t="s">
        <v>694</v>
      </c>
      <c r="F277" s="37"/>
      <c r="G277" s="37">
        <v>0</v>
      </c>
      <c r="H277" s="37">
        <v>0</v>
      </c>
      <c r="I277" s="37">
        <v>0</v>
      </c>
      <c r="J277" s="37">
        <v>0</v>
      </c>
      <c r="K277" s="41">
        <v>0</v>
      </c>
      <c r="L277" s="37">
        <v>1E-3</v>
      </c>
      <c r="M277" s="37">
        <v>0</v>
      </c>
      <c r="N277" s="37">
        <v>1E-3</v>
      </c>
      <c r="O277" s="37">
        <v>1E-3</v>
      </c>
      <c r="P277" s="37">
        <v>1E-3</v>
      </c>
      <c r="Q277" s="37">
        <v>0</v>
      </c>
      <c r="R277" s="37">
        <v>2E-3</v>
      </c>
    </row>
    <row r="278" spans="1:18" x14ac:dyDescent="0.4">
      <c r="A278" s="10"/>
    </row>
    <row r="279" spans="1:18" x14ac:dyDescent="0.4">
      <c r="A279" s="10"/>
    </row>
    <row r="280" spans="1:18" x14ac:dyDescent="0.4">
      <c r="A280" s="10"/>
    </row>
    <row r="281" spans="1:18" x14ac:dyDescent="0.4">
      <c r="A281" s="10"/>
      <c r="B281" s="4" t="s">
        <v>1245</v>
      </c>
      <c r="C281" s="4">
        <v>19</v>
      </c>
      <c r="D281" s="4" t="s">
        <v>1249</v>
      </c>
      <c r="E281" t="s">
        <v>696</v>
      </c>
      <c r="K281" s="4" t="s">
        <v>576</v>
      </c>
    </row>
    <row r="282" spans="1:18" x14ac:dyDescent="0.4">
      <c r="A282" s="10"/>
      <c r="E282" t="s">
        <v>618</v>
      </c>
      <c r="F282" t="s">
        <v>568</v>
      </c>
      <c r="G282" t="s">
        <v>697</v>
      </c>
      <c r="K282" s="4" t="s">
        <v>698</v>
      </c>
    </row>
    <row r="283" spans="1:18" x14ac:dyDescent="0.4">
      <c r="A283" s="10"/>
      <c r="G283" t="s">
        <v>699</v>
      </c>
      <c r="H283" t="s">
        <v>700</v>
      </c>
      <c r="I283" t="s">
        <v>701</v>
      </c>
      <c r="J283" t="s">
        <v>702</v>
      </c>
    </row>
    <row r="284" spans="1:18" x14ac:dyDescent="0.4">
      <c r="A284" s="10"/>
      <c r="E284">
        <v>23.06</v>
      </c>
      <c r="F284" s="14">
        <v>148454</v>
      </c>
      <c r="G284" s="14">
        <v>11154</v>
      </c>
      <c r="H284" s="14">
        <v>878</v>
      </c>
      <c r="I284" s="14">
        <v>335</v>
      </c>
      <c r="J284" s="14">
        <v>11698</v>
      </c>
      <c r="K284" s="42">
        <v>7.8799999999999995E-2</v>
      </c>
    </row>
    <row r="285" spans="1:18" x14ac:dyDescent="0.4">
      <c r="A285" s="10"/>
      <c r="E285">
        <v>23.07</v>
      </c>
      <c r="F285" s="14">
        <v>140088</v>
      </c>
      <c r="G285" s="14">
        <v>11698</v>
      </c>
      <c r="H285" s="14">
        <v>902</v>
      </c>
      <c r="I285" s="14">
        <v>4867</v>
      </c>
      <c r="J285" s="14">
        <v>7733</v>
      </c>
      <c r="K285" s="42">
        <v>5.5199999999999999E-2</v>
      </c>
    </row>
    <row r="286" spans="1:18" x14ac:dyDescent="0.4">
      <c r="A286" s="10"/>
      <c r="E286">
        <v>23.08</v>
      </c>
      <c r="F286" s="14">
        <v>135525</v>
      </c>
      <c r="G286" s="14">
        <v>7733</v>
      </c>
      <c r="H286" s="14">
        <v>944</v>
      </c>
      <c r="I286" s="14">
        <v>342</v>
      </c>
      <c r="J286" s="14">
        <v>8334</v>
      </c>
      <c r="K286" s="42">
        <v>6.1499999999999999E-2</v>
      </c>
    </row>
    <row r="287" spans="1:18" x14ac:dyDescent="0.4">
      <c r="A287" s="10"/>
      <c r="E287">
        <v>23.09</v>
      </c>
      <c r="F287" s="14">
        <v>132827</v>
      </c>
      <c r="G287" s="14">
        <v>8334</v>
      </c>
      <c r="H287" s="14">
        <v>808</v>
      </c>
      <c r="I287" s="14">
        <v>21</v>
      </c>
      <c r="J287" s="14">
        <v>9122</v>
      </c>
      <c r="K287" s="42">
        <v>6.8699999999999997E-2</v>
      </c>
    </row>
    <row r="288" spans="1:18" x14ac:dyDescent="0.4">
      <c r="A288" s="10"/>
      <c r="E288">
        <v>23.1</v>
      </c>
      <c r="F288" s="14">
        <v>128109</v>
      </c>
      <c r="G288" s="14">
        <v>9122</v>
      </c>
      <c r="H288" s="14">
        <v>687</v>
      </c>
      <c r="I288" s="14">
        <v>683</v>
      </c>
      <c r="J288" s="14">
        <v>9126</v>
      </c>
      <c r="K288" s="42">
        <v>7.1199999999999999E-2</v>
      </c>
    </row>
    <row r="289" spans="1:13" x14ac:dyDescent="0.4">
      <c r="A289" s="10"/>
      <c r="E289">
        <v>23.11</v>
      </c>
      <c r="F289" s="14">
        <v>126387</v>
      </c>
      <c r="G289" s="14">
        <v>9126</v>
      </c>
      <c r="H289" s="14">
        <v>713</v>
      </c>
      <c r="I289" s="14">
        <v>39</v>
      </c>
      <c r="J289" s="14">
        <v>9800</v>
      </c>
      <c r="K289" s="42">
        <v>7.7499999999999999E-2</v>
      </c>
    </row>
    <row r="290" spans="1:13" x14ac:dyDescent="0.4">
      <c r="A290" s="10"/>
      <c r="E290">
        <v>23.12</v>
      </c>
      <c r="F290" s="14">
        <v>119583</v>
      </c>
      <c r="G290" s="14">
        <v>9800</v>
      </c>
      <c r="H290" s="14">
        <v>177</v>
      </c>
      <c r="I290" s="14">
        <v>4209</v>
      </c>
      <c r="J290" s="14">
        <v>5768</v>
      </c>
      <c r="K290" s="42">
        <v>4.82E-2</v>
      </c>
    </row>
    <row r="291" spans="1:13" x14ac:dyDescent="0.4">
      <c r="A291" s="10"/>
      <c r="E291">
        <v>24.01</v>
      </c>
      <c r="F291" s="14">
        <v>97581</v>
      </c>
      <c r="G291" s="14">
        <v>5768</v>
      </c>
      <c r="H291" s="14">
        <v>948</v>
      </c>
      <c r="I291" s="14">
        <v>0</v>
      </c>
      <c r="J291" s="14">
        <v>6715</v>
      </c>
      <c r="K291" s="42">
        <v>6.88E-2</v>
      </c>
    </row>
    <row r="292" spans="1:13" x14ac:dyDescent="0.4">
      <c r="A292" s="10"/>
      <c r="E292">
        <v>24.02</v>
      </c>
      <c r="F292" s="14">
        <v>48693</v>
      </c>
      <c r="G292" s="14">
        <v>6222</v>
      </c>
      <c r="H292" s="14">
        <v>784</v>
      </c>
      <c r="I292" s="14">
        <v>3</v>
      </c>
      <c r="J292" s="14">
        <v>7496</v>
      </c>
      <c r="K292" s="42">
        <v>0.15390000000000001</v>
      </c>
    </row>
    <row r="293" spans="1:13" x14ac:dyDescent="0.4">
      <c r="A293" s="10"/>
      <c r="E293">
        <v>24.03</v>
      </c>
      <c r="F293" s="14">
        <v>44294</v>
      </c>
      <c r="G293" s="14">
        <v>6773</v>
      </c>
      <c r="H293" s="14">
        <v>468</v>
      </c>
      <c r="I293" s="14">
        <v>15</v>
      </c>
      <c r="J293" s="14">
        <v>7950</v>
      </c>
      <c r="K293" s="42">
        <v>0.17949999999999999</v>
      </c>
    </row>
    <row r="294" spans="1:13" x14ac:dyDescent="0.4">
      <c r="A294" s="10"/>
      <c r="E294">
        <v>24.04</v>
      </c>
      <c r="F294" s="14">
        <v>45625</v>
      </c>
      <c r="G294" s="14">
        <v>7279</v>
      </c>
      <c r="H294" s="14">
        <v>449</v>
      </c>
      <c r="I294" s="14">
        <v>34</v>
      </c>
      <c r="J294" s="14">
        <v>8364</v>
      </c>
      <c r="K294" s="42">
        <v>0.18329999999999999</v>
      </c>
    </row>
    <row r="295" spans="1:13" x14ac:dyDescent="0.4">
      <c r="A295" s="10"/>
      <c r="E295">
        <v>24.05</v>
      </c>
      <c r="F295" s="14">
        <v>43809</v>
      </c>
      <c r="G295" s="14">
        <v>8364</v>
      </c>
      <c r="H295" s="14">
        <v>-6</v>
      </c>
      <c r="I295" s="14">
        <v>6</v>
      </c>
      <c r="J295" s="14">
        <v>8353</v>
      </c>
      <c r="K295" s="42">
        <v>0.19070000000000001</v>
      </c>
    </row>
    <row r="296" spans="1:13" x14ac:dyDescent="0.4">
      <c r="A296" s="10"/>
    </row>
    <row r="297" spans="1:13" x14ac:dyDescent="0.4">
      <c r="A297" s="10"/>
    </row>
    <row r="298" spans="1:13" x14ac:dyDescent="0.4">
      <c r="A298" s="10"/>
      <c r="B298" s="4" t="s">
        <v>1232</v>
      </c>
      <c r="C298" s="4">
        <v>20</v>
      </c>
      <c r="D298" s="4" t="s">
        <v>1250</v>
      </c>
      <c r="E298" t="s">
        <v>703</v>
      </c>
      <c r="F298" s="4" t="s">
        <v>704</v>
      </c>
    </row>
    <row r="299" spans="1:13" x14ac:dyDescent="0.4">
      <c r="A299" s="10"/>
      <c r="E299" t="s">
        <v>618</v>
      </c>
      <c r="F299" s="4" t="s">
        <v>705</v>
      </c>
      <c r="G299" s="4" t="s">
        <v>706</v>
      </c>
      <c r="H299" s="4" t="s">
        <v>707</v>
      </c>
      <c r="I299" s="4" t="s">
        <v>708</v>
      </c>
      <c r="J299" s="4" t="s">
        <v>709</v>
      </c>
      <c r="K299" s="4" t="s">
        <v>710</v>
      </c>
      <c r="L299" s="4" t="s">
        <v>711</v>
      </c>
      <c r="M299" s="4" t="s">
        <v>712</v>
      </c>
    </row>
    <row r="300" spans="1:13" x14ac:dyDescent="0.4">
      <c r="A300" s="10"/>
      <c r="E300" t="s">
        <v>713</v>
      </c>
      <c r="F300">
        <v>0.3</v>
      </c>
      <c r="G300">
        <v>3</v>
      </c>
      <c r="H300">
        <v>20</v>
      </c>
      <c r="I300">
        <v>50</v>
      </c>
      <c r="J300">
        <v>65</v>
      </c>
      <c r="K300" s="4">
        <v>85</v>
      </c>
      <c r="L300">
        <v>100</v>
      </c>
      <c r="M300">
        <v>100</v>
      </c>
    </row>
    <row r="301" spans="1:13" x14ac:dyDescent="0.4">
      <c r="A301" s="10"/>
      <c r="E301" t="s">
        <v>714</v>
      </c>
      <c r="F301">
        <v>60</v>
      </c>
      <c r="G301">
        <v>60</v>
      </c>
      <c r="H301">
        <v>60</v>
      </c>
      <c r="I301">
        <v>60</v>
      </c>
      <c r="J301">
        <v>60</v>
      </c>
      <c r="K301" s="4">
        <v>60</v>
      </c>
      <c r="L301">
        <v>60</v>
      </c>
      <c r="M301">
        <v>60</v>
      </c>
    </row>
    <row r="302" spans="1:13" x14ac:dyDescent="0.4">
      <c r="A302" s="10"/>
      <c r="E302" t="s">
        <v>715</v>
      </c>
      <c r="F302">
        <v>55</v>
      </c>
      <c r="G302">
        <v>55</v>
      </c>
      <c r="H302">
        <v>55</v>
      </c>
      <c r="I302">
        <v>55</v>
      </c>
      <c r="J302">
        <v>55</v>
      </c>
      <c r="K302" s="4">
        <v>55</v>
      </c>
      <c r="L302">
        <v>55</v>
      </c>
      <c r="M302">
        <v>55</v>
      </c>
    </row>
    <row r="303" spans="1:13" x14ac:dyDescent="0.4">
      <c r="A303" s="10"/>
      <c r="E303" t="s">
        <v>716</v>
      </c>
      <c r="F303">
        <v>0.3</v>
      </c>
      <c r="G303">
        <v>3</v>
      </c>
      <c r="H303">
        <v>10</v>
      </c>
      <c r="I303">
        <v>20</v>
      </c>
      <c r="J303">
        <v>20</v>
      </c>
      <c r="K303" s="4">
        <v>100</v>
      </c>
      <c r="L303">
        <v>100</v>
      </c>
      <c r="M303">
        <v>100</v>
      </c>
    </row>
    <row r="304" spans="1:13" x14ac:dyDescent="0.4">
      <c r="A304" s="10"/>
      <c r="E304" t="s">
        <v>717</v>
      </c>
    </row>
    <row r="305" spans="1:17" x14ac:dyDescent="0.4">
      <c r="A305" s="10"/>
    </row>
    <row r="306" spans="1:17" x14ac:dyDescent="0.4">
      <c r="A306" s="10"/>
    </row>
    <row r="307" spans="1:17" x14ac:dyDescent="0.4">
      <c r="A307" s="10"/>
      <c r="B307" s="4" t="s">
        <v>1251</v>
      </c>
      <c r="C307" s="4">
        <v>21</v>
      </c>
      <c r="D307" s="4" t="s">
        <v>1252</v>
      </c>
      <c r="E307" t="s">
        <v>718</v>
      </c>
      <c r="F307" s="4" t="s">
        <v>576</v>
      </c>
    </row>
    <row r="308" spans="1:17" x14ac:dyDescent="0.4">
      <c r="A308" s="10"/>
      <c r="E308" t="s">
        <v>618</v>
      </c>
      <c r="F308" s="4">
        <v>23.06</v>
      </c>
      <c r="G308" s="4">
        <v>23.07</v>
      </c>
      <c r="H308" s="4">
        <v>23.08</v>
      </c>
      <c r="I308" s="4">
        <v>23.09</v>
      </c>
      <c r="J308" s="4">
        <v>23.1</v>
      </c>
      <c r="K308" s="4">
        <v>23.11</v>
      </c>
      <c r="L308" s="4">
        <v>23.12</v>
      </c>
      <c r="M308" s="4">
        <v>24.01</v>
      </c>
      <c r="N308" s="4">
        <v>24.02</v>
      </c>
      <c r="O308" s="4">
        <v>24.03</v>
      </c>
      <c r="P308" s="4">
        <v>24.04</v>
      </c>
      <c r="Q308" s="4">
        <v>24.05</v>
      </c>
    </row>
    <row r="309" spans="1:17" x14ac:dyDescent="0.4">
      <c r="A309" s="10"/>
      <c r="E309" t="s">
        <v>719</v>
      </c>
      <c r="F309" s="14">
        <v>148454</v>
      </c>
      <c r="G309" s="14">
        <v>140088</v>
      </c>
      <c r="H309" s="14">
        <v>135525</v>
      </c>
      <c r="I309" s="14">
        <v>132827</v>
      </c>
      <c r="J309" s="14">
        <v>128109</v>
      </c>
      <c r="K309" s="39">
        <v>126387</v>
      </c>
      <c r="L309" s="14">
        <v>119583</v>
      </c>
      <c r="M309" s="14">
        <v>97581</v>
      </c>
      <c r="N309" s="14">
        <v>48693</v>
      </c>
      <c r="O309" s="14">
        <v>44294</v>
      </c>
      <c r="P309" s="14">
        <v>45625</v>
      </c>
      <c r="Q309" s="14">
        <v>43809</v>
      </c>
    </row>
    <row r="310" spans="1:17" x14ac:dyDescent="0.4">
      <c r="A310" s="10"/>
      <c r="E310" t="s">
        <v>720</v>
      </c>
      <c r="F310" s="14">
        <v>18665</v>
      </c>
      <c r="G310" s="14">
        <v>14454</v>
      </c>
      <c r="H310" s="14">
        <v>15188</v>
      </c>
      <c r="I310" s="14">
        <v>16450</v>
      </c>
      <c r="J310" s="14">
        <v>16933</v>
      </c>
      <c r="K310" s="39">
        <v>18270</v>
      </c>
      <c r="L310" s="14">
        <v>12957</v>
      </c>
      <c r="M310" s="14">
        <v>14525</v>
      </c>
      <c r="N310" s="14">
        <v>14850</v>
      </c>
      <c r="O310" s="14">
        <v>13523</v>
      </c>
      <c r="P310" s="14">
        <v>13548</v>
      </c>
      <c r="Q310" s="14">
        <v>12936</v>
      </c>
    </row>
    <row r="311" spans="1:17" x14ac:dyDescent="0.4">
      <c r="A311" s="10"/>
      <c r="E311" t="s">
        <v>721</v>
      </c>
      <c r="F311" s="14">
        <v>11698</v>
      </c>
      <c r="G311" s="14">
        <v>7733</v>
      </c>
      <c r="H311" s="14">
        <v>8334</v>
      </c>
      <c r="I311" s="14">
        <v>9122</v>
      </c>
      <c r="J311" s="14">
        <v>9126</v>
      </c>
      <c r="K311" s="39">
        <v>9800</v>
      </c>
      <c r="L311" s="14">
        <v>5768</v>
      </c>
      <c r="M311" s="14">
        <v>6715</v>
      </c>
      <c r="N311" s="14">
        <v>7496</v>
      </c>
      <c r="O311" s="14">
        <v>7950</v>
      </c>
      <c r="P311" s="14">
        <v>8364</v>
      </c>
      <c r="Q311" s="14">
        <v>8353</v>
      </c>
    </row>
    <row r="312" spans="1:17" x14ac:dyDescent="0.4">
      <c r="A312" s="10"/>
      <c r="E312" t="s">
        <v>722</v>
      </c>
      <c r="F312" s="43">
        <v>0.12570000000000001</v>
      </c>
      <c r="G312" s="43">
        <v>0.1032</v>
      </c>
      <c r="H312" s="43">
        <v>0.11210000000000001</v>
      </c>
      <c r="I312" s="43">
        <v>0.12379999999999999</v>
      </c>
      <c r="J312" s="43">
        <v>0.13220000000000001</v>
      </c>
      <c r="K312" s="43">
        <v>0.14460000000000001</v>
      </c>
      <c r="L312" s="43">
        <v>0.10829999999999999</v>
      </c>
      <c r="M312" s="43">
        <v>0.1489</v>
      </c>
      <c r="N312" s="43">
        <v>0.30499999999999999</v>
      </c>
      <c r="O312" s="43" t="s">
        <v>723</v>
      </c>
      <c r="P312" s="43">
        <v>0.29699999999999999</v>
      </c>
      <c r="Q312" s="43">
        <v>0.29530000000000001</v>
      </c>
    </row>
    <row r="313" spans="1:17" x14ac:dyDescent="0.4">
      <c r="A313" s="10"/>
      <c r="E313" t="s">
        <v>724</v>
      </c>
      <c r="F313" s="43">
        <v>7.8799999999999995E-2</v>
      </c>
      <c r="G313" s="43">
        <v>5.5199999999999999E-2</v>
      </c>
      <c r="H313" s="43">
        <v>6.1499999999999999E-2</v>
      </c>
      <c r="I313" s="43">
        <v>6.8699999999999997E-2</v>
      </c>
      <c r="J313" s="43">
        <v>7.1199999999999999E-2</v>
      </c>
      <c r="K313" s="43">
        <v>7.7499999999999999E-2</v>
      </c>
      <c r="L313" s="43">
        <v>4.82E-2</v>
      </c>
      <c r="M313" s="43">
        <v>6.88E-2</v>
      </c>
      <c r="N313" s="43">
        <v>0.15390000000000001</v>
      </c>
      <c r="O313" s="43">
        <v>0.17949999999999999</v>
      </c>
      <c r="P313" s="43">
        <v>0.18329999999999999</v>
      </c>
      <c r="Q313" s="43">
        <v>0.19070000000000001</v>
      </c>
    </row>
    <row r="314" spans="1:17" x14ac:dyDescent="0.4">
      <c r="A314" s="10"/>
      <c r="E314" t="s">
        <v>725</v>
      </c>
      <c r="F314" s="43">
        <v>0.74660000000000004</v>
      </c>
      <c r="G314" s="43">
        <v>0.76659999999999995</v>
      </c>
      <c r="H314" s="43">
        <v>0.71709999999999996</v>
      </c>
      <c r="I314" s="43">
        <v>0.72399999999999998</v>
      </c>
      <c r="J314" s="43">
        <v>0.73360000000000003</v>
      </c>
      <c r="K314" s="43">
        <v>0.68869999999999998</v>
      </c>
      <c r="L314" s="43">
        <v>0.58850000000000002</v>
      </c>
      <c r="M314" s="43">
        <v>0.67100000000000004</v>
      </c>
      <c r="N314" s="43">
        <v>0.59909999999999997</v>
      </c>
      <c r="O314" s="43">
        <v>0.61429999999999996</v>
      </c>
      <c r="P314" s="43">
        <v>0.65549999999999997</v>
      </c>
      <c r="Q314" s="43">
        <v>0.70209999999999995</v>
      </c>
    </row>
    <row r="315" spans="1:17" x14ac:dyDescent="0.4">
      <c r="A315" s="10"/>
      <c r="F315" s="16"/>
      <c r="G315" s="16"/>
      <c r="H315" s="16"/>
      <c r="I315" s="16"/>
      <c r="J315" s="16"/>
      <c r="K315" s="42"/>
      <c r="L315" s="16"/>
      <c r="M315" s="16"/>
      <c r="N315" s="16"/>
      <c r="O315" s="16"/>
      <c r="P315" s="16"/>
      <c r="Q315" s="16"/>
    </row>
    <row r="316" spans="1:17" x14ac:dyDescent="0.4">
      <c r="A316" s="10"/>
    </row>
    <row r="317" spans="1:17" x14ac:dyDescent="0.4">
      <c r="A317" s="10"/>
      <c r="B317" s="4" t="s">
        <v>1225</v>
      </c>
      <c r="C317" s="4">
        <v>22</v>
      </c>
      <c r="D317" s="4" t="s">
        <v>1253</v>
      </c>
      <c r="E317" t="s">
        <v>726</v>
      </c>
      <c r="F317" t="s">
        <v>727</v>
      </c>
      <c r="G317" t="s">
        <v>728</v>
      </c>
      <c r="H317" t="s">
        <v>729</v>
      </c>
    </row>
    <row r="318" spans="1:17" x14ac:dyDescent="0.4">
      <c r="A318" s="10"/>
      <c r="E318" t="s">
        <v>730</v>
      </c>
      <c r="F318" t="s">
        <v>731</v>
      </c>
      <c r="G318" t="s">
        <v>732</v>
      </c>
      <c r="H318" t="s">
        <v>733</v>
      </c>
    </row>
    <row r="319" spans="1:17" x14ac:dyDescent="0.4">
      <c r="A319" s="10"/>
      <c r="E319" t="s">
        <v>734</v>
      </c>
      <c r="F319" t="s">
        <v>744</v>
      </c>
      <c r="G319" t="s">
        <v>735</v>
      </c>
      <c r="H319">
        <v>41234</v>
      </c>
    </row>
    <row r="320" spans="1:17" x14ac:dyDescent="0.4">
      <c r="A320" s="10"/>
      <c r="E320" t="s">
        <v>736</v>
      </c>
      <c r="F320" s="10" t="s">
        <v>737</v>
      </c>
      <c r="G320" t="s">
        <v>738</v>
      </c>
      <c r="H320" t="s">
        <v>739</v>
      </c>
    </row>
    <row r="321" spans="1:11" x14ac:dyDescent="0.4">
      <c r="A321" s="10"/>
      <c r="E321" t="s">
        <v>740</v>
      </c>
      <c r="F321" t="s">
        <v>741</v>
      </c>
      <c r="G321" t="s">
        <v>742</v>
      </c>
      <c r="H321" t="s">
        <v>743</v>
      </c>
    </row>
    <row r="322" spans="1:11" x14ac:dyDescent="0.4">
      <c r="A322" s="10"/>
    </row>
    <row r="323" spans="1:11" x14ac:dyDescent="0.4">
      <c r="A323" s="10"/>
    </row>
    <row r="324" spans="1:11" x14ac:dyDescent="0.4">
      <c r="A324" s="10"/>
      <c r="B324" s="4" t="s">
        <v>1225</v>
      </c>
      <c r="C324" s="4">
        <v>23</v>
      </c>
      <c r="D324" s="4" t="s">
        <v>1254</v>
      </c>
      <c r="E324" t="s">
        <v>745</v>
      </c>
      <c r="F324" t="s">
        <v>746</v>
      </c>
      <c r="G324" t="s">
        <v>747</v>
      </c>
      <c r="H324" t="s">
        <v>748</v>
      </c>
      <c r="I324" t="s">
        <v>749</v>
      </c>
    </row>
    <row r="325" spans="1:11" x14ac:dyDescent="0.4">
      <c r="A325" s="10"/>
      <c r="E325" t="s">
        <v>750</v>
      </c>
      <c r="F325" s="14">
        <v>60000</v>
      </c>
      <c r="G325" s="14">
        <v>300000000</v>
      </c>
      <c r="H325">
        <f>F325/$F$331</f>
        <v>0.3</v>
      </c>
      <c r="I325" t="s">
        <v>751</v>
      </c>
      <c r="K325" s="4" t="s">
        <v>758</v>
      </c>
    </row>
    <row r="326" spans="1:11" x14ac:dyDescent="0.4">
      <c r="A326" s="10"/>
      <c r="E326" t="s">
        <v>752</v>
      </c>
      <c r="F326" s="14">
        <v>60000</v>
      </c>
      <c r="G326" s="14">
        <v>300000000</v>
      </c>
      <c r="H326">
        <f t="shared" ref="H326:H330" si="12">F326/$F$331</f>
        <v>0.3</v>
      </c>
      <c r="I326" t="s">
        <v>751</v>
      </c>
      <c r="K326" s="4" t="s">
        <v>758</v>
      </c>
    </row>
    <row r="327" spans="1:11" x14ac:dyDescent="0.4">
      <c r="A327" s="10"/>
      <c r="E327" t="s">
        <v>753</v>
      </c>
      <c r="F327" s="14">
        <v>50000</v>
      </c>
      <c r="G327" s="14">
        <v>250000000</v>
      </c>
      <c r="H327">
        <f t="shared" si="12"/>
        <v>0.25</v>
      </c>
      <c r="I327" t="s">
        <v>15</v>
      </c>
      <c r="K327" s="4" t="s">
        <v>758</v>
      </c>
    </row>
    <row r="328" spans="1:11" x14ac:dyDescent="0.4">
      <c r="A328" s="10"/>
      <c r="E328" t="s">
        <v>754</v>
      </c>
      <c r="F328" s="14">
        <v>18000</v>
      </c>
      <c r="G328" s="14">
        <v>90000000</v>
      </c>
      <c r="H328">
        <f t="shared" si="12"/>
        <v>0.09</v>
      </c>
      <c r="I328" t="s">
        <v>755</v>
      </c>
      <c r="K328" s="4" t="s">
        <v>758</v>
      </c>
    </row>
    <row r="329" spans="1:11" x14ac:dyDescent="0.4">
      <c r="A329" s="10"/>
      <c r="E329" t="s">
        <v>756</v>
      </c>
      <c r="F329" s="14">
        <v>10000</v>
      </c>
      <c r="G329" s="14">
        <v>50000000</v>
      </c>
      <c r="H329">
        <f t="shared" si="12"/>
        <v>0.05</v>
      </c>
      <c r="I329" t="s">
        <v>755</v>
      </c>
      <c r="K329" s="4" t="s">
        <v>758</v>
      </c>
    </row>
    <row r="330" spans="1:11" x14ac:dyDescent="0.4">
      <c r="A330" s="10"/>
      <c r="E330" t="s">
        <v>757</v>
      </c>
      <c r="F330" s="14">
        <v>2000</v>
      </c>
      <c r="G330" s="14">
        <v>10000000</v>
      </c>
      <c r="H330">
        <f t="shared" si="12"/>
        <v>0.01</v>
      </c>
      <c r="I330" t="s">
        <v>15</v>
      </c>
      <c r="K330" s="4" t="s">
        <v>758</v>
      </c>
    </row>
    <row r="331" spans="1:11" x14ac:dyDescent="0.4">
      <c r="A331" s="10"/>
      <c r="E331" t="s">
        <v>622</v>
      </c>
      <c r="F331" s="14">
        <f>SUM(F325:F330)</f>
        <v>200000</v>
      </c>
      <c r="G331" s="97">
        <f t="shared" ref="G331:H331" si="13">SUM(G325:G330)</f>
        <v>1000000000</v>
      </c>
      <c r="H331">
        <f t="shared" si="13"/>
        <v>1</v>
      </c>
      <c r="K331" s="4" t="s">
        <v>758</v>
      </c>
    </row>
    <row r="332" spans="1:11" x14ac:dyDescent="0.4">
      <c r="A332" s="10"/>
    </row>
    <row r="333" spans="1:11" x14ac:dyDescent="0.4">
      <c r="A333" s="10"/>
    </row>
    <row r="334" spans="1:11" x14ac:dyDescent="0.4">
      <c r="A334" s="10"/>
      <c r="B334" s="4" t="s">
        <v>1243</v>
      </c>
      <c r="C334" s="4">
        <v>24</v>
      </c>
      <c r="D334" s="4" t="s">
        <v>1255</v>
      </c>
      <c r="E334" t="s">
        <v>577</v>
      </c>
      <c r="F334">
        <v>2021.12</v>
      </c>
      <c r="G334">
        <v>2022.12</v>
      </c>
      <c r="H334">
        <v>2023.12</v>
      </c>
      <c r="I334">
        <v>2024.06</v>
      </c>
    </row>
    <row r="335" spans="1:11" x14ac:dyDescent="0.4">
      <c r="A335" s="10"/>
      <c r="E335" t="s">
        <v>247</v>
      </c>
      <c r="F335" s="14">
        <v>165531</v>
      </c>
      <c r="G335" s="14">
        <v>141542</v>
      </c>
      <c r="H335" s="14">
        <v>140696</v>
      </c>
      <c r="I335" s="14">
        <v>145523</v>
      </c>
    </row>
    <row r="336" spans="1:11" x14ac:dyDescent="0.4">
      <c r="A336" s="10"/>
      <c r="E336" t="s">
        <v>261</v>
      </c>
      <c r="F336" s="14">
        <v>10193</v>
      </c>
      <c r="G336" s="14">
        <v>3453</v>
      </c>
      <c r="H336" s="14">
        <v>5823</v>
      </c>
      <c r="I336" s="14">
        <v>6284</v>
      </c>
    </row>
    <row r="337" spans="1:12" x14ac:dyDescent="0.4">
      <c r="A337" s="10"/>
      <c r="E337" t="s">
        <v>567</v>
      </c>
      <c r="F337" s="14">
        <v>142941</v>
      </c>
      <c r="G337" s="14">
        <v>123508</v>
      </c>
      <c r="H337" s="14">
        <v>118807</v>
      </c>
      <c r="I337" s="14">
        <v>124985</v>
      </c>
    </row>
    <row r="338" spans="1:12" x14ac:dyDescent="0.4">
      <c r="A338" s="10"/>
      <c r="E338" t="s">
        <v>568</v>
      </c>
      <c r="F338" s="14">
        <v>151348</v>
      </c>
      <c r="G338" s="14">
        <v>131670</v>
      </c>
      <c r="H338" s="14">
        <v>124576</v>
      </c>
      <c r="I338" s="14">
        <v>135187</v>
      </c>
    </row>
    <row r="339" spans="1:12" x14ac:dyDescent="0.4">
      <c r="A339" s="10"/>
      <c r="E339" t="s">
        <v>580</v>
      </c>
      <c r="F339" s="14">
        <v>-8407</v>
      </c>
      <c r="G339" s="14">
        <v>-8161</v>
      </c>
      <c r="H339" s="14">
        <v>-5769</v>
      </c>
      <c r="I339" s="14">
        <v>-10202</v>
      </c>
    </row>
    <row r="340" spans="1:12" x14ac:dyDescent="0.4">
      <c r="A340" s="10"/>
      <c r="E340" t="s">
        <v>569</v>
      </c>
      <c r="F340" s="14">
        <v>12397</v>
      </c>
      <c r="G340" s="14">
        <v>14581</v>
      </c>
      <c r="H340" s="14">
        <v>16066</v>
      </c>
      <c r="I340" s="14">
        <v>14255</v>
      </c>
    </row>
    <row r="341" spans="1:12" x14ac:dyDescent="0.4">
      <c r="A341" s="10"/>
      <c r="E341" t="s">
        <v>251</v>
      </c>
      <c r="F341" s="14">
        <v>130980</v>
      </c>
      <c r="G341" s="14">
        <v>100804</v>
      </c>
      <c r="H341" s="14">
        <v>100234</v>
      </c>
      <c r="I341" s="14">
        <v>107719</v>
      </c>
    </row>
    <row r="342" spans="1:12" x14ac:dyDescent="0.4">
      <c r="A342" s="10"/>
      <c r="E342" t="s">
        <v>581</v>
      </c>
      <c r="F342" s="14">
        <v>127392</v>
      </c>
      <c r="G342" s="14">
        <v>96459</v>
      </c>
      <c r="H342" s="14">
        <v>97087</v>
      </c>
      <c r="I342" s="14">
        <v>104805</v>
      </c>
      <c r="L342">
        <v>43440</v>
      </c>
    </row>
    <row r="343" spans="1:12" x14ac:dyDescent="0.4">
      <c r="A343" s="10"/>
      <c r="E343" t="s">
        <v>570</v>
      </c>
      <c r="F343" s="14">
        <v>3588</v>
      </c>
      <c r="G343" s="14">
        <v>4345</v>
      </c>
      <c r="H343" s="14">
        <v>3147</v>
      </c>
      <c r="I343" s="14">
        <v>2913</v>
      </c>
    </row>
    <row r="344" spans="1:12" x14ac:dyDescent="0.4">
      <c r="A344" s="10"/>
      <c r="E344" t="s">
        <v>254</v>
      </c>
      <c r="F344" s="14">
        <v>34552</v>
      </c>
      <c r="G344" s="14">
        <v>40738</v>
      </c>
      <c r="H344" s="14">
        <v>40462</v>
      </c>
      <c r="I344" s="14">
        <v>37805</v>
      </c>
    </row>
    <row r="345" spans="1:12" x14ac:dyDescent="0.4">
      <c r="A345" s="10"/>
      <c r="E345" t="s">
        <v>258</v>
      </c>
      <c r="F345" s="14">
        <v>1000</v>
      </c>
      <c r="G345" s="14">
        <v>1000</v>
      </c>
      <c r="H345" s="14">
        <v>1000</v>
      </c>
      <c r="I345" s="97">
        <v>1000</v>
      </c>
    </row>
    <row r="346" spans="1:12" x14ac:dyDescent="0.4">
      <c r="A346" s="10"/>
      <c r="E346" t="s">
        <v>583</v>
      </c>
      <c r="F346" s="14">
        <v>33522</v>
      </c>
      <c r="G346" s="14">
        <v>39738</v>
      </c>
      <c r="H346" s="14">
        <v>39462</v>
      </c>
      <c r="I346" s="14">
        <v>36805</v>
      </c>
    </row>
    <row r="347" spans="1:12" x14ac:dyDescent="0.4">
      <c r="A347" s="10"/>
      <c r="F347" s="14"/>
      <c r="G347" s="14"/>
      <c r="H347" s="14"/>
      <c r="I347" s="14"/>
    </row>
    <row r="348" spans="1:12" x14ac:dyDescent="0.4">
      <c r="A348" s="10"/>
      <c r="F348" s="14"/>
      <c r="G348" s="14"/>
      <c r="H348" s="14"/>
      <c r="I348" s="14"/>
    </row>
    <row r="349" spans="1:12" x14ac:dyDescent="0.4">
      <c r="A349" s="10"/>
      <c r="B349" s="4" t="s">
        <v>1243</v>
      </c>
      <c r="C349" s="4">
        <v>25</v>
      </c>
      <c r="D349" s="4" t="s">
        <v>1256</v>
      </c>
      <c r="E349" t="s">
        <v>584</v>
      </c>
      <c r="F349" s="14">
        <v>32837</v>
      </c>
      <c r="G349" s="14">
        <v>31793</v>
      </c>
      <c r="H349" s="14">
        <v>24709</v>
      </c>
      <c r="I349" s="14">
        <v>10841</v>
      </c>
    </row>
    <row r="350" spans="1:12" x14ac:dyDescent="0.4">
      <c r="A350" s="10"/>
      <c r="E350" t="s">
        <v>585</v>
      </c>
      <c r="F350" s="14">
        <v>29743</v>
      </c>
      <c r="G350" s="14">
        <v>29324</v>
      </c>
      <c r="H350" s="14">
        <v>22704</v>
      </c>
      <c r="I350" s="14">
        <v>10841</v>
      </c>
    </row>
    <row r="351" spans="1:12" x14ac:dyDescent="0.4">
      <c r="A351" s="10"/>
      <c r="E351" t="s">
        <v>759</v>
      </c>
      <c r="F351" s="14">
        <v>1565</v>
      </c>
      <c r="G351" s="14">
        <v>1756</v>
      </c>
      <c r="H351" s="14">
        <v>1965</v>
      </c>
      <c r="I351" s="14" t="s">
        <v>15</v>
      </c>
    </row>
    <row r="352" spans="1:12" x14ac:dyDescent="0.4">
      <c r="A352" s="10"/>
      <c r="E352" t="s">
        <v>760</v>
      </c>
      <c r="F352" s="14">
        <v>1529</v>
      </c>
      <c r="G352" s="14">
        <v>713</v>
      </c>
      <c r="H352" s="14">
        <v>41</v>
      </c>
      <c r="I352" s="14" t="s">
        <v>15</v>
      </c>
    </row>
    <row r="353" spans="1:17" x14ac:dyDescent="0.4">
      <c r="A353" s="10"/>
      <c r="E353" t="s">
        <v>587</v>
      </c>
      <c r="F353" s="14">
        <v>21727</v>
      </c>
      <c r="G353" s="14">
        <v>24214</v>
      </c>
      <c r="H353" s="14">
        <v>23515</v>
      </c>
      <c r="I353" s="14">
        <v>12500</v>
      </c>
    </row>
    <row r="354" spans="1:17" x14ac:dyDescent="0.4">
      <c r="A354" s="10"/>
      <c r="E354" t="s">
        <v>280</v>
      </c>
      <c r="F354" s="14">
        <v>7153</v>
      </c>
      <c r="G354" s="14">
        <v>7321</v>
      </c>
      <c r="H354" s="14">
        <v>7221</v>
      </c>
      <c r="I354" s="14">
        <v>3666</v>
      </c>
    </row>
    <row r="355" spans="1:17" x14ac:dyDescent="0.4">
      <c r="A355" s="10"/>
      <c r="E355" t="s">
        <v>761</v>
      </c>
      <c r="F355" s="14">
        <v>5294</v>
      </c>
      <c r="G355" s="14">
        <v>7391</v>
      </c>
      <c r="H355" s="14">
        <v>8951</v>
      </c>
      <c r="I355" s="14">
        <v>4515</v>
      </c>
    </row>
    <row r="356" spans="1:17" x14ac:dyDescent="0.4">
      <c r="A356" s="10"/>
      <c r="E356" t="s">
        <v>571</v>
      </c>
      <c r="F356" s="14">
        <v>3163</v>
      </c>
      <c r="G356" s="14">
        <v>1895</v>
      </c>
      <c r="H356" s="14">
        <v>1007</v>
      </c>
      <c r="I356" s="14">
        <v>1023</v>
      </c>
    </row>
    <row r="357" spans="1:17" x14ac:dyDescent="0.4">
      <c r="A357" s="10"/>
      <c r="E357" t="s">
        <v>572</v>
      </c>
      <c r="F357" s="14">
        <v>6116</v>
      </c>
      <c r="G357" s="14">
        <v>7573</v>
      </c>
      <c r="H357" s="14">
        <v>6304</v>
      </c>
      <c r="I357" s="14">
        <v>3297</v>
      </c>
    </row>
    <row r="358" spans="1:17" x14ac:dyDescent="0.4">
      <c r="A358" s="10"/>
      <c r="E358" t="s">
        <v>762</v>
      </c>
      <c r="F358" s="14" t="s">
        <v>15</v>
      </c>
      <c r="G358" s="14">
        <v>26</v>
      </c>
      <c r="H358" s="14">
        <v>23</v>
      </c>
      <c r="I358" s="14" t="s">
        <v>15</v>
      </c>
    </row>
    <row r="359" spans="1:17" x14ac:dyDescent="0.4">
      <c r="A359" s="10"/>
      <c r="E359" t="s">
        <v>763</v>
      </c>
      <c r="F359" s="14" t="s">
        <v>15</v>
      </c>
      <c r="G359" s="14">
        <v>7</v>
      </c>
      <c r="H359" s="14">
        <v>8</v>
      </c>
      <c r="I359" s="14" t="s">
        <v>15</v>
      </c>
    </row>
    <row r="360" spans="1:17" x14ac:dyDescent="0.4">
      <c r="A360" s="10"/>
      <c r="E360" t="s">
        <v>289</v>
      </c>
      <c r="F360" s="14">
        <v>11111</v>
      </c>
      <c r="G360" s="14">
        <v>7579</v>
      </c>
      <c r="H360" s="14">
        <v>1194</v>
      </c>
      <c r="I360" s="14">
        <v>-1659</v>
      </c>
    </row>
    <row r="361" spans="1:17" x14ac:dyDescent="0.4">
      <c r="A361" s="10"/>
      <c r="E361" t="s">
        <v>591</v>
      </c>
      <c r="F361" s="14">
        <v>-4</v>
      </c>
      <c r="G361" s="14">
        <v>1588</v>
      </c>
      <c r="H361" s="14">
        <v>14</v>
      </c>
      <c r="I361" s="14">
        <v>2</v>
      </c>
    </row>
    <row r="362" spans="1:17" x14ac:dyDescent="0.4">
      <c r="A362" s="10"/>
      <c r="E362" t="s">
        <v>296</v>
      </c>
      <c r="F362" s="14">
        <v>11106</v>
      </c>
      <c r="G362" s="14">
        <v>9167</v>
      </c>
      <c r="H362" s="14">
        <v>1208</v>
      </c>
      <c r="I362" s="14">
        <v>-1657</v>
      </c>
    </row>
    <row r="363" spans="1:17" x14ac:dyDescent="0.4">
      <c r="A363" s="10"/>
      <c r="E363" t="s">
        <v>292</v>
      </c>
      <c r="F363" s="14">
        <v>8680</v>
      </c>
      <c r="G363" s="14">
        <v>7186</v>
      </c>
      <c r="H363" s="14">
        <v>724</v>
      </c>
      <c r="I363" s="14">
        <v>-1657</v>
      </c>
    </row>
    <row r="364" spans="1:17" x14ac:dyDescent="0.4">
      <c r="A364" s="10"/>
      <c r="E364" t="s">
        <v>764</v>
      </c>
    </row>
    <row r="365" spans="1:17" x14ac:dyDescent="0.4">
      <c r="A365" s="10"/>
      <c r="L365" s="4"/>
      <c r="M365" s="4"/>
      <c r="N365" s="4"/>
      <c r="O365" s="4"/>
      <c r="P365" s="4"/>
      <c r="Q365" s="4"/>
    </row>
    <row r="366" spans="1:17" x14ac:dyDescent="0.4">
      <c r="A366" s="10"/>
      <c r="B366" s="4" t="s">
        <v>1243</v>
      </c>
      <c r="C366" s="4">
        <v>26</v>
      </c>
      <c r="D366" s="4" t="s">
        <v>1257</v>
      </c>
      <c r="E366" t="s">
        <v>618</v>
      </c>
      <c r="F366" t="s">
        <v>578</v>
      </c>
      <c r="G366" t="s">
        <v>579</v>
      </c>
      <c r="H366">
        <v>2023.12</v>
      </c>
      <c r="I366" t="s">
        <v>5</v>
      </c>
      <c r="L366" s="4"/>
      <c r="M366" s="4"/>
      <c r="N366" s="4"/>
      <c r="O366" s="4"/>
      <c r="P366" s="4"/>
      <c r="Q366" s="4"/>
    </row>
    <row r="367" spans="1:17" x14ac:dyDescent="0.4">
      <c r="A367" s="10"/>
      <c r="E367" t="s">
        <v>301</v>
      </c>
      <c r="F367" s="27">
        <v>0.21690000000000001</v>
      </c>
      <c r="G367" s="44">
        <f>(G335-F335)/F335</f>
        <v>-0.14492149506738919</v>
      </c>
      <c r="H367" s="44">
        <f>(H335-G335)/G335</f>
        <v>-5.9770244874312924E-3</v>
      </c>
      <c r="I367" t="s">
        <v>600</v>
      </c>
      <c r="M367" s="4"/>
      <c r="N367" s="4"/>
      <c r="O367" s="4"/>
      <c r="P367" s="4"/>
      <c r="Q367" s="4"/>
    </row>
    <row r="368" spans="1:17" x14ac:dyDescent="0.4">
      <c r="A368" s="10"/>
      <c r="E368" t="s">
        <v>306</v>
      </c>
      <c r="F368" s="27">
        <v>0.186</v>
      </c>
      <c r="G368" s="44">
        <f>(G337-F337)/F337</f>
        <v>-0.13595119664756788</v>
      </c>
      <c r="H368" s="44">
        <f>(H337-G337)/G337</f>
        <v>-3.8062311753084818E-2</v>
      </c>
      <c r="I368" t="s">
        <v>601</v>
      </c>
      <c r="K368" s="4" t="s">
        <v>766</v>
      </c>
      <c r="M368" s="4"/>
      <c r="N368" s="4"/>
      <c r="O368" s="4"/>
      <c r="P368" s="4"/>
      <c r="Q368" s="4"/>
    </row>
    <row r="369" spans="1:17" x14ac:dyDescent="0.4">
      <c r="A369" s="10"/>
      <c r="E369" t="s">
        <v>602</v>
      </c>
      <c r="F369" s="17">
        <f t="shared" ref="F369:G369" si="14">F344/F335</f>
        <v>0.20873431562668021</v>
      </c>
      <c r="G369" s="17">
        <f t="shared" si="14"/>
        <v>0.2878156306961891</v>
      </c>
      <c r="H369" s="17">
        <f>H344/H335</f>
        <v>0.28758457951896288</v>
      </c>
      <c r="I369" t="s">
        <v>311</v>
      </c>
      <c r="L369" s="4"/>
      <c r="M369" s="4"/>
      <c r="N369" s="4"/>
      <c r="O369" s="4"/>
      <c r="P369" s="4"/>
      <c r="Q369" s="4"/>
    </row>
    <row r="370" spans="1:17" x14ac:dyDescent="0.4">
      <c r="A370" s="10"/>
      <c r="E370" t="s">
        <v>315</v>
      </c>
      <c r="F370" s="15">
        <f t="shared" ref="F370:G370" si="15">F362/F335</f>
        <v>6.7093172880004354E-2</v>
      </c>
      <c r="G370" s="15">
        <f t="shared" si="15"/>
        <v>6.4765228695369575E-2</v>
      </c>
      <c r="H370" s="15">
        <f>H362/H335</f>
        <v>8.5858873031216237E-3</v>
      </c>
      <c r="I370" t="s">
        <v>316</v>
      </c>
      <c r="L370" s="4"/>
      <c r="M370" s="4"/>
      <c r="N370" s="4"/>
      <c r="O370" s="4"/>
      <c r="P370" s="4"/>
      <c r="Q370" s="4"/>
    </row>
    <row r="371" spans="1:17" x14ac:dyDescent="0.4">
      <c r="A371" s="10"/>
      <c r="E371" t="s">
        <v>573</v>
      </c>
      <c r="F371" s="15">
        <f t="shared" ref="F371:G371" si="16">F363/F335</f>
        <v>5.2437307815454505E-2</v>
      </c>
      <c r="G371" s="15">
        <f t="shared" si="16"/>
        <v>5.0769382939339559E-2</v>
      </c>
      <c r="H371" s="15">
        <f>H363/H335</f>
        <v>5.145846363791437E-3</v>
      </c>
      <c r="I371" t="s">
        <v>321</v>
      </c>
      <c r="L371" s="4"/>
      <c r="M371" s="4"/>
      <c r="N371" s="4"/>
      <c r="O371" s="4"/>
      <c r="P371" s="4"/>
      <c r="Q371" s="4"/>
    </row>
    <row r="372" spans="1:17" x14ac:dyDescent="0.4">
      <c r="A372" s="10"/>
      <c r="E372" t="s">
        <v>574</v>
      </c>
      <c r="F372" s="15">
        <f t="shared" ref="F372:G372" si="17">F363/F344</f>
        <v>0.25121555915721233</v>
      </c>
      <c r="G372" s="15">
        <f t="shared" si="17"/>
        <v>0.17639550297019982</v>
      </c>
      <c r="H372" s="15">
        <f>H363/H344</f>
        <v>1.789333201522416E-2</v>
      </c>
      <c r="I372" t="s">
        <v>325</v>
      </c>
      <c r="L372" s="4"/>
      <c r="M372" s="4"/>
      <c r="N372" s="4"/>
      <c r="O372" s="4"/>
      <c r="P372" s="4"/>
      <c r="Q372" s="4"/>
    </row>
    <row r="373" spans="1:17" x14ac:dyDescent="0.4">
      <c r="A373" s="10"/>
      <c r="E373" t="s">
        <v>603</v>
      </c>
      <c r="F373" s="15">
        <f t="shared" ref="F373:G373" si="18">F360/F349</f>
        <v>0.33836830404726376</v>
      </c>
      <c r="G373" s="15">
        <f t="shared" si="18"/>
        <v>0.23838580819677288</v>
      </c>
      <c r="H373" s="15">
        <f>H360/H349</f>
        <v>4.8322473592618077E-2</v>
      </c>
      <c r="I373" t="s">
        <v>330</v>
      </c>
      <c r="L373" s="4"/>
      <c r="M373" s="4"/>
      <c r="N373" s="4"/>
      <c r="O373" s="4"/>
      <c r="P373" s="4"/>
      <c r="Q373" s="4"/>
    </row>
    <row r="374" spans="1:17" x14ac:dyDescent="0.4">
      <c r="A374" s="10"/>
      <c r="E374" t="s">
        <v>604</v>
      </c>
      <c r="F374" s="15">
        <f t="shared" ref="F374" si="19">F363/F349</f>
        <v>0.26433596248134728</v>
      </c>
      <c r="G374" s="15">
        <f>G363/G349</f>
        <v>0.22602459660931651</v>
      </c>
      <c r="H374" s="15">
        <f>H363/H349</f>
        <v>2.9301064389493706E-2</v>
      </c>
      <c r="I374" t="s">
        <v>335</v>
      </c>
      <c r="L374" s="4"/>
      <c r="M374" s="4"/>
      <c r="N374" s="4"/>
      <c r="O374" s="4"/>
      <c r="P374" s="4"/>
      <c r="Q374" s="4"/>
    </row>
    <row r="375" spans="1:17" x14ac:dyDescent="0.4">
      <c r="A375" s="10"/>
      <c r="E375" t="s">
        <v>338</v>
      </c>
      <c r="F375" s="11">
        <v>140644</v>
      </c>
      <c r="G375" s="9">
        <f t="shared" ref="G375" si="20">SUM(F338:G338)/2</f>
        <v>141509</v>
      </c>
      <c r="H375" s="9">
        <f>SUM(G338:H338)/2</f>
        <v>128123</v>
      </c>
      <c r="I375" t="s">
        <v>605</v>
      </c>
      <c r="L375" s="4"/>
      <c r="M375" s="4"/>
      <c r="N375" s="4"/>
      <c r="O375" s="4"/>
      <c r="P375" s="4"/>
      <c r="Q375" s="4"/>
    </row>
    <row r="376" spans="1:17" x14ac:dyDescent="0.4">
      <c r="A376" s="10"/>
      <c r="E376" t="s">
        <v>342</v>
      </c>
      <c r="F376" s="27">
        <f t="shared" ref="F376" si="21">F350/F375</f>
        <v>0.21147720485765478</v>
      </c>
      <c r="G376" s="27">
        <f t="shared" ref="G376" si="22">G350/G375</f>
        <v>0.20722356881894438</v>
      </c>
      <c r="H376" s="27">
        <f>H350/H375</f>
        <v>0.17720471734192925</v>
      </c>
      <c r="I376" t="s">
        <v>343</v>
      </c>
      <c r="K376" s="4" t="s">
        <v>767</v>
      </c>
      <c r="L376" s="4"/>
      <c r="M376" s="4"/>
      <c r="N376" s="4"/>
      <c r="O376" s="4"/>
      <c r="P376" s="4"/>
      <c r="Q376" s="4"/>
    </row>
    <row r="377" spans="1:17" x14ac:dyDescent="0.4">
      <c r="A377" s="10"/>
      <c r="E377" t="s">
        <v>347</v>
      </c>
      <c r="F377" s="16">
        <f t="shared" ref="F377:G377" si="23">F354/F375</f>
        <v>5.0858906174454654E-2</v>
      </c>
      <c r="G377" s="16">
        <f t="shared" si="23"/>
        <v>5.1735225321357652E-2</v>
      </c>
      <c r="H377" s="16">
        <f>H354/H375</f>
        <v>5.6359904154601438E-2</v>
      </c>
      <c r="I377" t="s">
        <v>348</v>
      </c>
      <c r="L377" s="4"/>
      <c r="M377" s="4"/>
      <c r="N377" s="4"/>
      <c r="O377" s="4"/>
      <c r="P377" s="4"/>
      <c r="Q377" s="4"/>
    </row>
    <row r="378" spans="1:17" x14ac:dyDescent="0.4">
      <c r="A378" s="10"/>
      <c r="E378" t="s">
        <v>352</v>
      </c>
      <c r="F378" s="16">
        <f t="shared" ref="F378:G378" si="24">F355/F375</f>
        <v>3.7641136486448054E-2</v>
      </c>
      <c r="G378" s="16">
        <f t="shared" si="24"/>
        <v>5.2229893505006751E-2</v>
      </c>
      <c r="H378" s="16">
        <f>H355/H375</f>
        <v>6.9862553952061687E-2</v>
      </c>
      <c r="I378" t="s">
        <v>353</v>
      </c>
      <c r="L378" s="4"/>
      <c r="M378" s="4"/>
      <c r="N378" s="4"/>
      <c r="O378" s="4"/>
      <c r="P378" s="4"/>
      <c r="Q378" s="4"/>
    </row>
    <row r="379" spans="1:17" x14ac:dyDescent="0.4">
      <c r="A379" s="10"/>
      <c r="E379" t="s">
        <v>357</v>
      </c>
      <c r="F379" s="29">
        <f t="shared" ref="F379:G379" si="25">F356/F375</f>
        <v>2.2489405875828334E-2</v>
      </c>
      <c r="G379" s="29">
        <f t="shared" si="25"/>
        <v>1.3391374400214828E-2</v>
      </c>
      <c r="H379" s="29">
        <f>H356/H375</f>
        <v>7.8596348821054762E-3</v>
      </c>
      <c r="I379" t="s">
        <v>358</v>
      </c>
      <c r="L379" s="4"/>
      <c r="M379" s="4"/>
      <c r="N379" s="4"/>
      <c r="O379" s="4"/>
      <c r="P379" s="4"/>
      <c r="Q379" s="4"/>
    </row>
    <row r="380" spans="1:17" x14ac:dyDescent="0.4">
      <c r="A380" s="10"/>
      <c r="E380" t="s">
        <v>765</v>
      </c>
      <c r="F380" s="29">
        <f t="shared" ref="F380:G380" si="26">F357/F375</f>
        <v>4.3485680156992119E-2</v>
      </c>
      <c r="G380" s="29">
        <f t="shared" si="26"/>
        <v>5.3516030782494402E-2</v>
      </c>
      <c r="H380" s="29">
        <f>H357/H375</f>
        <v>4.920271926195921E-2</v>
      </c>
      <c r="I380" t="s">
        <v>363</v>
      </c>
      <c r="L380" s="4"/>
      <c r="M380" s="4"/>
      <c r="N380" s="4"/>
      <c r="O380" s="4"/>
      <c r="P380" s="4"/>
      <c r="Q380" s="4"/>
    </row>
    <row r="381" spans="1:17" x14ac:dyDescent="0.4">
      <c r="A381" s="10"/>
      <c r="E381" t="s">
        <v>575</v>
      </c>
      <c r="F381" s="15">
        <v>5.5500000000000001E-2</v>
      </c>
      <c r="G381" s="15">
        <v>3.5000000000000003E-2</v>
      </c>
      <c r="H381" s="15">
        <v>-7.1999999999999998E-3</v>
      </c>
      <c r="L381" s="4"/>
      <c r="M381" s="4"/>
      <c r="N381" s="4"/>
      <c r="O381" s="4"/>
      <c r="P381" s="4"/>
      <c r="Q381" s="4"/>
    </row>
    <row r="382" spans="1:17" x14ac:dyDescent="0.4">
      <c r="A382" s="10"/>
      <c r="F382" s="17">
        <f>F376-F377-F378-F379-F380</f>
        <v>5.7002076163931624E-2</v>
      </c>
      <c r="G382" s="17">
        <f t="shared" ref="G382:H382" si="27">G376-G377-G378-G379-G380</f>
        <v>3.6351044809870732E-2</v>
      </c>
      <c r="H382" s="17">
        <f t="shared" si="27"/>
        <v>-6.0800949087985584E-3</v>
      </c>
      <c r="K382" s="4" t="s">
        <v>767</v>
      </c>
      <c r="L382" s="4" t="s">
        <v>768</v>
      </c>
      <c r="M382" s="4"/>
      <c r="N382" s="4"/>
      <c r="O382" s="4"/>
      <c r="P382" s="4"/>
      <c r="Q382" s="4"/>
    </row>
    <row r="383" spans="1:17" x14ac:dyDescent="0.4">
      <c r="A383" s="10"/>
      <c r="L383" s="4"/>
      <c r="M383" s="4"/>
      <c r="N383" s="4"/>
      <c r="O383" s="4"/>
      <c r="P383" s="4"/>
      <c r="Q383" s="4"/>
    </row>
    <row r="384" spans="1:17" x14ac:dyDescent="0.4">
      <c r="A384" s="10"/>
      <c r="B384" s="4" t="s">
        <v>1243</v>
      </c>
      <c r="C384" s="4">
        <v>27</v>
      </c>
      <c r="D384" s="4" t="s">
        <v>1258</v>
      </c>
      <c r="E384" t="s">
        <v>33</v>
      </c>
      <c r="F384" t="s">
        <v>769</v>
      </c>
      <c r="G384" t="s">
        <v>624</v>
      </c>
      <c r="H384" t="s">
        <v>626</v>
      </c>
      <c r="I384" t="s">
        <v>565</v>
      </c>
      <c r="J384" t="s">
        <v>5</v>
      </c>
    </row>
    <row r="385" spans="1:17" x14ac:dyDescent="0.4">
      <c r="A385" s="10"/>
      <c r="E385" t="s">
        <v>770</v>
      </c>
      <c r="F385" t="s">
        <v>771</v>
      </c>
      <c r="G385" t="s">
        <v>772</v>
      </c>
      <c r="H385" t="s">
        <v>773</v>
      </c>
      <c r="I385" t="s">
        <v>774</v>
      </c>
      <c r="J385" t="s">
        <v>775</v>
      </c>
    </row>
    <row r="386" spans="1:17" x14ac:dyDescent="0.4">
      <c r="A386" s="10"/>
    </row>
    <row r="387" spans="1:17" x14ac:dyDescent="0.4">
      <c r="A387" s="10"/>
    </row>
    <row r="388" spans="1:17" x14ac:dyDescent="0.4">
      <c r="A388" s="10"/>
      <c r="B388" s="4" t="s">
        <v>1243</v>
      </c>
      <c r="C388" s="4">
        <v>28</v>
      </c>
      <c r="D388" s="4" t="s">
        <v>1259</v>
      </c>
      <c r="E388" t="s">
        <v>618</v>
      </c>
      <c r="F388">
        <v>23.07</v>
      </c>
      <c r="G388">
        <v>23.08</v>
      </c>
      <c r="H388">
        <v>23.09</v>
      </c>
      <c r="I388">
        <v>23.1</v>
      </c>
      <c r="J388">
        <v>23.11</v>
      </c>
      <c r="K388" s="4">
        <v>23.12</v>
      </c>
      <c r="L388">
        <v>24.01</v>
      </c>
      <c r="M388">
        <v>24.02</v>
      </c>
      <c r="N388">
        <v>24.03</v>
      </c>
      <c r="O388">
        <v>24.04</v>
      </c>
      <c r="P388">
        <v>24.05</v>
      </c>
      <c r="Q388">
        <v>24.06</v>
      </c>
    </row>
    <row r="389" spans="1:17" x14ac:dyDescent="0.4">
      <c r="A389" s="10"/>
      <c r="E389" t="s">
        <v>247</v>
      </c>
      <c r="F389">
        <v>136928</v>
      </c>
      <c r="G389">
        <v>143492</v>
      </c>
      <c r="H389">
        <v>141774</v>
      </c>
      <c r="I389">
        <v>135959</v>
      </c>
      <c r="J389">
        <v>140352</v>
      </c>
      <c r="K389" s="4">
        <v>140696</v>
      </c>
      <c r="L389">
        <v>137450</v>
      </c>
      <c r="M389">
        <v>137030</v>
      </c>
      <c r="N389">
        <v>143548</v>
      </c>
      <c r="O389">
        <v>143494</v>
      </c>
      <c r="P389">
        <v>150213</v>
      </c>
      <c r="Q389">
        <v>145523</v>
      </c>
    </row>
    <row r="390" spans="1:17" x14ac:dyDescent="0.4">
      <c r="A390" s="10"/>
      <c r="E390" t="s">
        <v>251</v>
      </c>
      <c r="F390">
        <v>97203</v>
      </c>
      <c r="G390" t="s">
        <v>776</v>
      </c>
      <c r="H390">
        <v>101902</v>
      </c>
      <c r="I390">
        <v>95674</v>
      </c>
      <c r="J390">
        <v>100041</v>
      </c>
      <c r="K390" s="4">
        <v>100234</v>
      </c>
      <c r="L390">
        <v>97225</v>
      </c>
      <c r="M390">
        <v>97695</v>
      </c>
      <c r="N390">
        <v>105405</v>
      </c>
      <c r="O390">
        <v>105507</v>
      </c>
      <c r="P390">
        <v>112293</v>
      </c>
      <c r="Q390">
        <v>107719</v>
      </c>
    </row>
    <row r="391" spans="1:17" x14ac:dyDescent="0.4">
      <c r="A391" s="10"/>
      <c r="E391" t="s">
        <v>254</v>
      </c>
      <c r="F391">
        <v>39726</v>
      </c>
      <c r="G391">
        <v>39550</v>
      </c>
      <c r="H391">
        <v>39872</v>
      </c>
      <c r="I391">
        <v>40285</v>
      </c>
      <c r="J391">
        <v>40311</v>
      </c>
      <c r="K391" s="4">
        <v>40462</v>
      </c>
      <c r="L391">
        <v>40225</v>
      </c>
      <c r="M391">
        <v>39335</v>
      </c>
      <c r="N391">
        <v>38142</v>
      </c>
      <c r="O391">
        <v>37987</v>
      </c>
      <c r="P391">
        <v>37920</v>
      </c>
      <c r="Q391">
        <v>37805</v>
      </c>
    </row>
    <row r="392" spans="1:17" x14ac:dyDescent="0.4">
      <c r="A392" s="10"/>
      <c r="E392" t="s">
        <v>648</v>
      </c>
      <c r="F392">
        <v>1000</v>
      </c>
      <c r="G392">
        <v>1000</v>
      </c>
      <c r="H392">
        <v>1000</v>
      </c>
      <c r="I392">
        <v>1000</v>
      </c>
      <c r="J392">
        <v>1000</v>
      </c>
      <c r="K392" s="4">
        <v>1000</v>
      </c>
      <c r="L392">
        <v>1000</v>
      </c>
      <c r="M392">
        <v>1000</v>
      </c>
      <c r="N392">
        <v>1000</v>
      </c>
      <c r="O392">
        <v>1000</v>
      </c>
      <c r="P392">
        <v>1000</v>
      </c>
      <c r="Q392">
        <v>1000</v>
      </c>
    </row>
    <row r="393" spans="1:17" x14ac:dyDescent="0.4">
      <c r="A393" s="10"/>
      <c r="E393" t="s">
        <v>649</v>
      </c>
      <c r="F393">
        <v>-12</v>
      </c>
      <c r="G393">
        <v>-188</v>
      </c>
      <c r="H393">
        <v>134</v>
      </c>
      <c r="I393">
        <v>547</v>
      </c>
      <c r="J393">
        <v>573</v>
      </c>
      <c r="K393" s="4">
        <v>724</v>
      </c>
      <c r="L393">
        <v>-236</v>
      </c>
      <c r="M393">
        <v>-1127</v>
      </c>
      <c r="N393">
        <v>-1320</v>
      </c>
      <c r="O393">
        <v>-1475</v>
      </c>
      <c r="P393">
        <v>-1542</v>
      </c>
      <c r="Q393">
        <v>-1657</v>
      </c>
    </row>
    <row r="394" spans="1:17" x14ac:dyDescent="0.4">
      <c r="A394" s="10"/>
      <c r="E394" t="s">
        <v>778</v>
      </c>
      <c r="F394">
        <v>629</v>
      </c>
      <c r="G394">
        <v>776</v>
      </c>
      <c r="H394">
        <v>505</v>
      </c>
      <c r="I394">
        <v>458</v>
      </c>
      <c r="J394">
        <v>729</v>
      </c>
      <c r="K394" s="4">
        <v>743</v>
      </c>
      <c r="L394">
        <v>985</v>
      </c>
      <c r="M394">
        <v>977</v>
      </c>
      <c r="N394">
        <v>1113</v>
      </c>
      <c r="O394">
        <v>1198</v>
      </c>
      <c r="P394">
        <v>1132</v>
      </c>
      <c r="Q394">
        <v>1015</v>
      </c>
    </row>
    <row r="395" spans="1:17" x14ac:dyDescent="0.4">
      <c r="A395" s="10"/>
      <c r="E395" t="s">
        <v>779</v>
      </c>
      <c r="F395">
        <v>3821</v>
      </c>
      <c r="G395">
        <v>7373</v>
      </c>
      <c r="H395">
        <v>3499</v>
      </c>
      <c r="I395">
        <v>5399</v>
      </c>
      <c r="J395">
        <v>7786</v>
      </c>
      <c r="K395" s="4">
        <v>5035</v>
      </c>
      <c r="L395">
        <v>6697</v>
      </c>
      <c r="M395">
        <v>9449</v>
      </c>
      <c r="N395">
        <v>8714</v>
      </c>
      <c r="O395">
        <v>8566</v>
      </c>
      <c r="P395">
        <v>8482</v>
      </c>
      <c r="Q395">
        <v>7127</v>
      </c>
    </row>
    <row r="396" spans="1:17" x14ac:dyDescent="0.4">
      <c r="A396" s="10"/>
      <c r="E396" t="s">
        <v>652</v>
      </c>
      <c r="F396">
        <v>16771</v>
      </c>
      <c r="G396">
        <v>16401</v>
      </c>
      <c r="H396">
        <v>16448</v>
      </c>
      <c r="I396">
        <v>15738</v>
      </c>
      <c r="J396">
        <v>15956</v>
      </c>
      <c r="K396" s="4">
        <v>15690</v>
      </c>
      <c r="L396">
        <v>16088</v>
      </c>
      <c r="M396">
        <v>16458</v>
      </c>
      <c r="N396">
        <v>16890</v>
      </c>
      <c r="O396">
        <v>17319</v>
      </c>
      <c r="P396">
        <v>17607</v>
      </c>
      <c r="Q396">
        <v>17822</v>
      </c>
    </row>
    <row r="397" spans="1:17" x14ac:dyDescent="0.4">
      <c r="A397" s="10"/>
      <c r="E397" t="s">
        <v>777</v>
      </c>
      <c r="F397">
        <v>129353</v>
      </c>
      <c r="G397">
        <v>128158</v>
      </c>
      <c r="H397">
        <v>127926</v>
      </c>
      <c r="I397">
        <v>123713</v>
      </c>
      <c r="J397">
        <v>127120</v>
      </c>
      <c r="K397" s="4">
        <v>124576</v>
      </c>
      <c r="L397">
        <v>125016</v>
      </c>
      <c r="M397">
        <v>125956</v>
      </c>
      <c r="N397">
        <v>129812</v>
      </c>
      <c r="O397">
        <v>131778</v>
      </c>
      <c r="P397">
        <v>134156</v>
      </c>
      <c r="Q397">
        <v>135187</v>
      </c>
    </row>
    <row r="398" spans="1:17" x14ac:dyDescent="0.4">
      <c r="A398" s="10"/>
      <c r="E398" t="s">
        <v>653</v>
      </c>
      <c r="F398">
        <v>94252</v>
      </c>
      <c r="G398">
        <v>101134</v>
      </c>
      <c r="H398">
        <v>99106</v>
      </c>
      <c r="I398">
        <v>92879</v>
      </c>
      <c r="J398">
        <v>97243</v>
      </c>
      <c r="K398" s="4">
        <v>97087</v>
      </c>
      <c r="L398">
        <v>94082</v>
      </c>
      <c r="M398">
        <v>94808</v>
      </c>
      <c r="N398">
        <v>101483</v>
      </c>
      <c r="O398">
        <v>101709</v>
      </c>
      <c r="P398">
        <v>109378</v>
      </c>
      <c r="Q398">
        <v>104805</v>
      </c>
    </row>
    <row r="399" spans="1:17" x14ac:dyDescent="0.4">
      <c r="A399" s="10"/>
    </row>
    <row r="400" spans="1:17" x14ac:dyDescent="0.4">
      <c r="A400" s="10"/>
    </row>
    <row r="401" spans="1:17" x14ac:dyDescent="0.4">
      <c r="A401" s="10"/>
      <c r="B401" s="4" t="s">
        <v>1243</v>
      </c>
      <c r="C401" s="4">
        <v>29</v>
      </c>
      <c r="D401" s="4" t="s">
        <v>1260</v>
      </c>
      <c r="E401" t="s">
        <v>618</v>
      </c>
      <c r="F401">
        <v>23.07</v>
      </c>
      <c r="G401">
        <v>23.08</v>
      </c>
      <c r="H401">
        <v>23.09</v>
      </c>
      <c r="I401">
        <v>23.1</v>
      </c>
      <c r="J401">
        <v>23.11</v>
      </c>
      <c r="K401" s="4">
        <v>23.12</v>
      </c>
      <c r="L401">
        <v>24.01</v>
      </c>
      <c r="M401">
        <v>24.02</v>
      </c>
      <c r="N401">
        <v>24.03</v>
      </c>
      <c r="O401">
        <v>24.04</v>
      </c>
      <c r="P401">
        <v>24.05</v>
      </c>
      <c r="Q401">
        <v>24.06</v>
      </c>
    </row>
    <row r="402" spans="1:17" x14ac:dyDescent="0.4">
      <c r="A402" s="10"/>
      <c r="E402" t="s">
        <v>247</v>
      </c>
      <c r="F402">
        <v>136928</v>
      </c>
      <c r="G402">
        <v>143492</v>
      </c>
      <c r="H402">
        <v>141774</v>
      </c>
      <c r="I402">
        <v>135959</v>
      </c>
      <c r="J402">
        <v>140352</v>
      </c>
      <c r="K402" s="4">
        <v>140696</v>
      </c>
      <c r="L402">
        <v>137450</v>
      </c>
      <c r="M402">
        <v>137030</v>
      </c>
      <c r="N402">
        <v>143548</v>
      </c>
      <c r="O402">
        <v>143494</v>
      </c>
      <c r="P402">
        <v>150213</v>
      </c>
      <c r="Q402">
        <v>145523</v>
      </c>
    </row>
    <row r="403" spans="1:17" x14ac:dyDescent="0.4">
      <c r="A403" s="10"/>
      <c r="E403" t="s">
        <v>254</v>
      </c>
      <c r="F403">
        <v>39726</v>
      </c>
      <c r="G403">
        <v>39550</v>
      </c>
      <c r="H403">
        <v>39872</v>
      </c>
      <c r="I403">
        <v>40285</v>
      </c>
      <c r="J403">
        <v>40311</v>
      </c>
      <c r="K403" s="4">
        <v>40462</v>
      </c>
      <c r="L403">
        <v>40225</v>
      </c>
      <c r="M403">
        <v>39335</v>
      </c>
      <c r="N403">
        <v>38142</v>
      </c>
      <c r="O403">
        <v>37987</v>
      </c>
      <c r="P403">
        <v>37920</v>
      </c>
      <c r="Q403">
        <v>37805</v>
      </c>
    </row>
    <row r="404" spans="1:17" x14ac:dyDescent="0.4">
      <c r="A404" s="10"/>
      <c r="E404" t="s">
        <v>674</v>
      </c>
      <c r="F404">
        <v>3.45</v>
      </c>
      <c r="G404">
        <v>3.63</v>
      </c>
      <c r="H404">
        <v>3.56</v>
      </c>
      <c r="I404">
        <v>3.37</v>
      </c>
      <c r="J404">
        <v>3.48</v>
      </c>
      <c r="K404" s="4">
        <v>3.48</v>
      </c>
      <c r="L404">
        <v>3.42</v>
      </c>
      <c r="M404">
        <v>3.48</v>
      </c>
      <c r="N404">
        <v>3.76</v>
      </c>
      <c r="O404">
        <v>3.78</v>
      </c>
      <c r="P404">
        <v>3.96</v>
      </c>
      <c r="Q404">
        <v>3.85</v>
      </c>
    </row>
    <row r="405" spans="1:17" x14ac:dyDescent="0.4">
      <c r="A405" s="10"/>
    </row>
    <row r="406" spans="1:17" x14ac:dyDescent="0.4">
      <c r="A406" s="10"/>
      <c r="C406" s="4">
        <v>30</v>
      </c>
      <c r="D406" s="4" t="s">
        <v>1261</v>
      </c>
      <c r="E406" t="s">
        <v>780</v>
      </c>
    </row>
    <row r="407" spans="1:17" x14ac:dyDescent="0.4">
      <c r="A407" s="10"/>
      <c r="E407" t="s">
        <v>781</v>
      </c>
    </row>
    <row r="408" spans="1:17" x14ac:dyDescent="0.4">
      <c r="A408" s="10"/>
    </row>
    <row r="409" spans="1:17" x14ac:dyDescent="0.4">
      <c r="A409" s="10"/>
    </row>
    <row r="410" spans="1:17" x14ac:dyDescent="0.4">
      <c r="A410" s="10"/>
    </row>
    <row r="411" spans="1:17" x14ac:dyDescent="0.4">
      <c r="A411" s="10"/>
      <c r="B411" s="4" t="s">
        <v>1243</v>
      </c>
      <c r="C411" s="4">
        <v>31</v>
      </c>
      <c r="D411" s="4" t="s">
        <v>1262</v>
      </c>
    </row>
    <row r="412" spans="1:17" x14ac:dyDescent="0.4">
      <c r="A412" s="10"/>
      <c r="E412" t="s">
        <v>782</v>
      </c>
      <c r="F412" t="s">
        <v>378</v>
      </c>
      <c r="G412" t="s">
        <v>380</v>
      </c>
      <c r="H412" t="s">
        <v>410</v>
      </c>
      <c r="I412" t="s">
        <v>385</v>
      </c>
      <c r="J412" t="s">
        <v>387</v>
      </c>
      <c r="K412" s="4" t="s">
        <v>72</v>
      </c>
      <c r="L412" t="s">
        <v>783</v>
      </c>
    </row>
    <row r="413" spans="1:17" x14ac:dyDescent="0.4">
      <c r="A413" s="10"/>
      <c r="E413" t="s">
        <v>784</v>
      </c>
      <c r="F413">
        <v>14125</v>
      </c>
      <c r="G413">
        <v>14090</v>
      </c>
      <c r="H413" s="12">
        <v>4.8599999999999997E-2</v>
      </c>
      <c r="I413">
        <v>45422</v>
      </c>
      <c r="J413">
        <v>46141</v>
      </c>
      <c r="K413" s="4" t="s">
        <v>785</v>
      </c>
      <c r="L413" t="s">
        <v>786</v>
      </c>
    </row>
    <row r="414" spans="1:17" x14ac:dyDescent="0.4">
      <c r="A414" s="10"/>
      <c r="E414" t="s">
        <v>787</v>
      </c>
      <c r="F414">
        <v>500</v>
      </c>
      <c r="G414">
        <v>500</v>
      </c>
      <c r="H414" s="12" t="s">
        <v>788</v>
      </c>
      <c r="I414">
        <v>45189</v>
      </c>
      <c r="J414">
        <v>45555</v>
      </c>
      <c r="K414" s="4" t="s">
        <v>641</v>
      </c>
      <c r="L414" t="s">
        <v>789</v>
      </c>
    </row>
    <row r="415" spans="1:17" x14ac:dyDescent="0.4">
      <c r="A415" s="10"/>
      <c r="E415" t="s">
        <v>790</v>
      </c>
      <c r="F415">
        <v>3000</v>
      </c>
      <c r="G415">
        <v>2500</v>
      </c>
      <c r="H415" s="12">
        <v>6.2199999999999998E-2</v>
      </c>
      <c r="I415">
        <v>45236</v>
      </c>
      <c r="J415">
        <v>46332</v>
      </c>
      <c r="K415" s="4" t="s">
        <v>785</v>
      </c>
      <c r="L415" t="s">
        <v>789</v>
      </c>
    </row>
    <row r="416" spans="1:17" x14ac:dyDescent="0.4">
      <c r="A416" s="10"/>
      <c r="E416" t="s">
        <v>791</v>
      </c>
      <c r="F416">
        <v>17625</v>
      </c>
      <c r="G416">
        <v>17090</v>
      </c>
      <c r="H416" s="12">
        <v>5.1299999999999998E-2</v>
      </c>
    </row>
    <row r="417" spans="1:12" x14ac:dyDescent="0.4">
      <c r="A417" s="10"/>
      <c r="E417" t="s">
        <v>792</v>
      </c>
      <c r="F417">
        <v>5000</v>
      </c>
      <c r="G417">
        <v>833</v>
      </c>
      <c r="H417" s="12">
        <v>0.09</v>
      </c>
      <c r="I417">
        <v>44855</v>
      </c>
      <c r="J417">
        <v>45586</v>
      </c>
      <c r="K417" s="4" t="s">
        <v>785</v>
      </c>
      <c r="L417" t="s">
        <v>793</v>
      </c>
    </row>
    <row r="418" spans="1:12" x14ac:dyDescent="0.4">
      <c r="A418" s="10"/>
      <c r="E418" t="s">
        <v>794</v>
      </c>
      <c r="F418">
        <v>2500</v>
      </c>
      <c r="G418">
        <v>2209</v>
      </c>
      <c r="H418" s="12">
        <v>8.2000000000000003E-2</v>
      </c>
      <c r="I418">
        <v>45359</v>
      </c>
      <c r="J418">
        <v>46089</v>
      </c>
      <c r="K418" s="4" t="s">
        <v>795</v>
      </c>
      <c r="L418" t="s">
        <v>793</v>
      </c>
    </row>
    <row r="419" spans="1:12" x14ac:dyDescent="0.4">
      <c r="A419" s="10"/>
      <c r="E419" t="s">
        <v>796</v>
      </c>
      <c r="F419">
        <v>7500</v>
      </c>
      <c r="G419">
        <v>3042</v>
      </c>
      <c r="H419" s="12">
        <v>8.4199999999999997E-2</v>
      </c>
    </row>
    <row r="420" spans="1:12" x14ac:dyDescent="0.4">
      <c r="A420" s="10"/>
      <c r="E420" t="s">
        <v>797</v>
      </c>
      <c r="F420">
        <v>1000</v>
      </c>
      <c r="G420">
        <v>111</v>
      </c>
      <c r="H420" s="12">
        <v>9.5000000000000001E-2</v>
      </c>
      <c r="I420">
        <v>44979</v>
      </c>
      <c r="J420">
        <v>45526</v>
      </c>
      <c r="K420" s="4" t="s">
        <v>785</v>
      </c>
      <c r="L420" t="s">
        <v>789</v>
      </c>
    </row>
    <row r="421" spans="1:12" x14ac:dyDescent="0.4">
      <c r="A421" s="10"/>
      <c r="F421">
        <v>1000</v>
      </c>
      <c r="G421">
        <v>389</v>
      </c>
      <c r="H421" s="12">
        <v>8.5000000000000006E-2</v>
      </c>
      <c r="I421">
        <v>45119</v>
      </c>
      <c r="J421">
        <v>45669</v>
      </c>
      <c r="K421" s="4" t="s">
        <v>785</v>
      </c>
      <c r="L421" t="s">
        <v>789</v>
      </c>
    </row>
    <row r="422" spans="1:12" x14ac:dyDescent="0.4">
      <c r="A422" s="10"/>
      <c r="E422" t="s">
        <v>798</v>
      </c>
      <c r="F422">
        <v>2000</v>
      </c>
      <c r="G422">
        <v>2000</v>
      </c>
      <c r="H422" s="12">
        <v>7.8E-2</v>
      </c>
      <c r="I422">
        <v>45470</v>
      </c>
      <c r="J422">
        <v>46080</v>
      </c>
      <c r="K422" s="4" t="s">
        <v>795</v>
      </c>
      <c r="L422" t="s">
        <v>799</v>
      </c>
    </row>
    <row r="423" spans="1:12" x14ac:dyDescent="0.4">
      <c r="A423" s="10"/>
      <c r="E423" t="s">
        <v>800</v>
      </c>
      <c r="F423">
        <v>4000</v>
      </c>
      <c r="G423">
        <v>2500</v>
      </c>
      <c r="H423" s="12">
        <v>7.9799999999999996E-2</v>
      </c>
      <c r="I423" t="s">
        <v>15</v>
      </c>
      <c r="K423" s="4" t="s">
        <v>15</v>
      </c>
      <c r="L423" t="s">
        <v>15</v>
      </c>
    </row>
    <row r="424" spans="1:12" x14ac:dyDescent="0.4">
      <c r="A424" s="10"/>
      <c r="E424" t="s">
        <v>801</v>
      </c>
      <c r="F424">
        <v>263</v>
      </c>
      <c r="G424">
        <v>173</v>
      </c>
      <c r="H424" s="12">
        <v>8.6999999999999994E-2</v>
      </c>
      <c r="I424">
        <v>45018</v>
      </c>
      <c r="J424">
        <v>45749</v>
      </c>
      <c r="K424" s="4" t="s">
        <v>641</v>
      </c>
      <c r="L424" t="s">
        <v>793</v>
      </c>
    </row>
    <row r="425" spans="1:12" x14ac:dyDescent="0.4">
      <c r="A425" s="10"/>
      <c r="F425">
        <v>587</v>
      </c>
      <c r="G425">
        <v>449</v>
      </c>
      <c r="H425" s="12">
        <v>8.3000000000000004E-2</v>
      </c>
      <c r="I425">
        <v>44987</v>
      </c>
      <c r="J425">
        <v>45598</v>
      </c>
      <c r="K425" s="4" t="s">
        <v>641</v>
      </c>
      <c r="L425" t="s">
        <v>793</v>
      </c>
    </row>
    <row r="426" spans="1:12" x14ac:dyDescent="0.4">
      <c r="A426" s="10"/>
      <c r="F426">
        <v>2000</v>
      </c>
      <c r="G426">
        <v>2000</v>
      </c>
      <c r="H426" s="12">
        <v>7.5999999999999998E-2</v>
      </c>
      <c r="I426">
        <v>45467</v>
      </c>
      <c r="J426">
        <v>46015</v>
      </c>
      <c r="K426" s="4" t="s">
        <v>795</v>
      </c>
      <c r="L426" t="s">
        <v>799</v>
      </c>
    </row>
    <row r="427" spans="1:12" x14ac:dyDescent="0.4">
      <c r="A427" s="10"/>
      <c r="E427" t="s">
        <v>802</v>
      </c>
      <c r="F427">
        <v>2850</v>
      </c>
      <c r="G427">
        <v>2622</v>
      </c>
      <c r="H427" s="12">
        <v>7.7600000000000002E-2</v>
      </c>
    </row>
    <row r="428" spans="1:12" x14ac:dyDescent="0.4">
      <c r="A428" s="10"/>
      <c r="E428" t="s">
        <v>803</v>
      </c>
      <c r="F428">
        <v>18386</v>
      </c>
      <c r="G428">
        <v>18186</v>
      </c>
      <c r="H428" s="12" t="s">
        <v>804</v>
      </c>
      <c r="I428" t="s">
        <v>15</v>
      </c>
      <c r="J428" t="s">
        <v>15</v>
      </c>
      <c r="K428" s="4" t="s">
        <v>641</v>
      </c>
      <c r="L428" t="s">
        <v>789</v>
      </c>
    </row>
    <row r="429" spans="1:12" x14ac:dyDescent="0.4">
      <c r="A429" s="10"/>
      <c r="E429" t="s">
        <v>805</v>
      </c>
    </row>
    <row r="430" spans="1:12" x14ac:dyDescent="0.4">
      <c r="A430" s="10"/>
      <c r="E430" t="s">
        <v>806</v>
      </c>
      <c r="F430">
        <v>50361</v>
      </c>
      <c r="G430">
        <v>43440</v>
      </c>
      <c r="H430">
        <v>7.3499999999999996E-2</v>
      </c>
    </row>
    <row r="431" spans="1:12" x14ac:dyDescent="0.4">
      <c r="A431" s="10"/>
    </row>
    <row r="432" spans="1:12" x14ac:dyDescent="0.4">
      <c r="A432" s="10"/>
    </row>
    <row r="433" spans="1:13" x14ac:dyDescent="0.4">
      <c r="A433" s="10"/>
      <c r="B433" s="4" t="s">
        <v>1225</v>
      </c>
      <c r="C433" s="4">
        <v>32</v>
      </c>
      <c r="D433" s="4" t="s">
        <v>1263</v>
      </c>
    </row>
    <row r="434" spans="1:13" x14ac:dyDescent="0.4">
      <c r="A434" s="10"/>
      <c r="E434" t="s">
        <v>618</v>
      </c>
      <c r="F434" t="s">
        <v>380</v>
      </c>
      <c r="G434" t="s">
        <v>613</v>
      </c>
    </row>
    <row r="435" spans="1:13" x14ac:dyDescent="0.4">
      <c r="A435" s="10"/>
      <c r="E435" t="s">
        <v>807</v>
      </c>
      <c r="F435">
        <v>17090</v>
      </c>
      <c r="G435" s="16">
        <f>F435/$F$440</f>
        <v>0.39341620626151014</v>
      </c>
    </row>
    <row r="436" spans="1:13" x14ac:dyDescent="0.4">
      <c r="A436" s="10"/>
      <c r="E436" t="s">
        <v>620</v>
      </c>
      <c r="F436">
        <v>2622</v>
      </c>
      <c r="G436" s="16">
        <f t="shared" ref="G436:G440" si="28">F436/$F$440</f>
        <v>6.0359116022099445E-2</v>
      </c>
    </row>
    <row r="437" spans="1:13" x14ac:dyDescent="0.4">
      <c r="A437" s="10"/>
      <c r="E437" t="s">
        <v>615</v>
      </c>
      <c r="F437">
        <v>2500</v>
      </c>
      <c r="G437" s="16">
        <f t="shared" si="28"/>
        <v>5.7550644567219152E-2</v>
      </c>
    </row>
    <row r="438" spans="1:13" x14ac:dyDescent="0.4">
      <c r="A438" s="10"/>
      <c r="E438" t="s">
        <v>621</v>
      </c>
      <c r="F438">
        <v>3042</v>
      </c>
      <c r="G438" s="16">
        <f t="shared" si="28"/>
        <v>7.0027624309392258E-2</v>
      </c>
    </row>
    <row r="439" spans="1:13" x14ac:dyDescent="0.4">
      <c r="A439" s="10"/>
      <c r="E439" t="s">
        <v>616</v>
      </c>
      <c r="F439">
        <v>18186</v>
      </c>
      <c r="G439" s="16">
        <f t="shared" si="28"/>
        <v>0.41864640883977899</v>
      </c>
    </row>
    <row r="440" spans="1:13" x14ac:dyDescent="0.4">
      <c r="A440" s="10"/>
      <c r="E440" t="s">
        <v>622</v>
      </c>
      <c r="F440">
        <f>SUM(F435:F439)</f>
        <v>43440</v>
      </c>
      <c r="G440" s="16">
        <f t="shared" si="28"/>
        <v>1</v>
      </c>
    </row>
    <row r="441" spans="1:13" x14ac:dyDescent="0.4">
      <c r="A441" s="10"/>
    </row>
    <row r="442" spans="1:13" x14ac:dyDescent="0.4">
      <c r="A442" s="10"/>
    </row>
    <row r="443" spans="1:13" x14ac:dyDescent="0.4">
      <c r="A443" s="10"/>
      <c r="B443" s="4" t="s">
        <v>1266</v>
      </c>
      <c r="C443" s="4">
        <v>33</v>
      </c>
      <c r="D443" s="4" t="s">
        <v>1264</v>
      </c>
      <c r="J443" t="s">
        <v>808</v>
      </c>
    </row>
    <row r="444" spans="1:13" x14ac:dyDescent="0.4">
      <c r="A444" s="10"/>
      <c r="E444" t="s">
        <v>782</v>
      </c>
      <c r="F444" t="s">
        <v>532</v>
      </c>
      <c r="G444" t="s">
        <v>378</v>
      </c>
      <c r="H444" t="s">
        <v>380</v>
      </c>
      <c r="I444" t="s">
        <v>410</v>
      </c>
      <c r="J444" t="s">
        <v>385</v>
      </c>
      <c r="K444" s="4" t="s">
        <v>387</v>
      </c>
      <c r="L444" t="s">
        <v>72</v>
      </c>
      <c r="M444" t="s">
        <v>783</v>
      </c>
    </row>
    <row r="445" spans="1:13" x14ac:dyDescent="0.4">
      <c r="A445" s="10"/>
      <c r="E445" t="s">
        <v>809</v>
      </c>
      <c r="F445" t="s">
        <v>810</v>
      </c>
      <c r="G445">
        <v>500</v>
      </c>
      <c r="H445">
        <v>500</v>
      </c>
      <c r="I445" s="16">
        <v>6.4000000000000001E-2</v>
      </c>
      <c r="J445" s="13">
        <v>44833</v>
      </c>
      <c r="K445" s="45">
        <v>45564</v>
      </c>
      <c r="L445" t="s">
        <v>641</v>
      </c>
      <c r="M445" t="s">
        <v>789</v>
      </c>
    </row>
    <row r="446" spans="1:13" x14ac:dyDescent="0.4">
      <c r="A446" s="10"/>
      <c r="E446" t="s">
        <v>811</v>
      </c>
      <c r="F446" t="s">
        <v>810</v>
      </c>
      <c r="G446">
        <v>2000</v>
      </c>
      <c r="H446">
        <v>1833</v>
      </c>
      <c r="I446" s="16">
        <v>6.8000000000000005E-2</v>
      </c>
      <c r="J446" s="13">
        <v>45421</v>
      </c>
      <c r="K446" s="45">
        <v>45786</v>
      </c>
      <c r="L446" t="s">
        <v>785</v>
      </c>
      <c r="M446" t="s">
        <v>789</v>
      </c>
    </row>
    <row r="447" spans="1:13" x14ac:dyDescent="0.4">
      <c r="A447" s="10"/>
      <c r="E447" t="s">
        <v>812</v>
      </c>
      <c r="F447" t="s">
        <v>810</v>
      </c>
      <c r="G447">
        <v>2000</v>
      </c>
      <c r="H447">
        <v>2000</v>
      </c>
      <c r="I447" s="16">
        <v>6.7000000000000004E-2</v>
      </c>
      <c r="J447" s="13">
        <v>45442</v>
      </c>
      <c r="K447" s="45">
        <v>45807</v>
      </c>
      <c r="L447" t="s">
        <v>785</v>
      </c>
      <c r="M447" t="s">
        <v>789</v>
      </c>
    </row>
    <row r="448" spans="1:13" x14ac:dyDescent="0.4">
      <c r="A448" s="10"/>
      <c r="E448" t="s">
        <v>813</v>
      </c>
      <c r="F448" t="s">
        <v>810</v>
      </c>
      <c r="G448">
        <v>2000</v>
      </c>
      <c r="H448">
        <v>1250</v>
      </c>
      <c r="I448" s="16">
        <v>5.8000000000000003E-2</v>
      </c>
      <c r="J448" s="13">
        <v>45168</v>
      </c>
      <c r="K448" s="45">
        <v>45899</v>
      </c>
      <c r="L448" t="s">
        <v>785</v>
      </c>
      <c r="M448" t="s">
        <v>789</v>
      </c>
    </row>
    <row r="449" spans="1:13" x14ac:dyDescent="0.4">
      <c r="A449" s="10"/>
      <c r="E449" t="s">
        <v>814</v>
      </c>
      <c r="G449">
        <v>6500</v>
      </c>
      <c r="H449">
        <v>5583</v>
      </c>
      <c r="I449" s="16">
        <v>6.5000000000000002E-2</v>
      </c>
      <c r="J449" s="13"/>
      <c r="K449" s="45"/>
    </row>
    <row r="450" spans="1:13" x14ac:dyDescent="0.4">
      <c r="A450" s="10"/>
      <c r="E450" t="s">
        <v>815</v>
      </c>
      <c r="F450" t="s">
        <v>617</v>
      </c>
      <c r="G450">
        <v>3000</v>
      </c>
      <c r="H450">
        <v>1500</v>
      </c>
      <c r="I450" s="16">
        <v>7.8E-2</v>
      </c>
      <c r="J450" s="13">
        <v>45288</v>
      </c>
      <c r="K450" s="45">
        <v>45654</v>
      </c>
      <c r="L450" t="s">
        <v>785</v>
      </c>
      <c r="M450" t="s">
        <v>799</v>
      </c>
    </row>
    <row r="451" spans="1:13" x14ac:dyDescent="0.4">
      <c r="A451" s="10"/>
      <c r="E451" t="s">
        <v>816</v>
      </c>
      <c r="F451" t="s">
        <v>617</v>
      </c>
      <c r="G451">
        <v>5000</v>
      </c>
      <c r="H451">
        <v>1446</v>
      </c>
      <c r="I451" s="16">
        <v>7.4999999999999997E-2</v>
      </c>
      <c r="J451" s="13">
        <v>45069</v>
      </c>
      <c r="K451" s="45">
        <v>45619</v>
      </c>
      <c r="L451" t="s">
        <v>795</v>
      </c>
      <c r="M451" t="s">
        <v>799</v>
      </c>
    </row>
    <row r="452" spans="1:13" x14ac:dyDescent="0.4">
      <c r="A452" s="10"/>
      <c r="E452" t="s">
        <v>817</v>
      </c>
      <c r="F452" t="s">
        <v>617</v>
      </c>
      <c r="G452">
        <v>5000</v>
      </c>
      <c r="H452">
        <v>840</v>
      </c>
      <c r="I452" s="16">
        <v>7.1999999999999995E-2</v>
      </c>
      <c r="J452" s="13">
        <v>45148</v>
      </c>
      <c r="K452" s="45">
        <v>45514</v>
      </c>
      <c r="L452" t="s">
        <v>785</v>
      </c>
      <c r="M452" t="s">
        <v>799</v>
      </c>
    </row>
    <row r="453" spans="1:13" x14ac:dyDescent="0.4">
      <c r="A453" s="10"/>
      <c r="E453" t="s">
        <v>817</v>
      </c>
      <c r="F453" t="s">
        <v>617</v>
      </c>
      <c r="G453">
        <v>5000</v>
      </c>
      <c r="H453">
        <v>4584</v>
      </c>
      <c r="I453" s="16">
        <v>7.3999999999999996E-2</v>
      </c>
      <c r="J453" s="13">
        <v>45419</v>
      </c>
      <c r="K453" s="45">
        <v>45784</v>
      </c>
      <c r="L453" t="s">
        <v>785</v>
      </c>
      <c r="M453" t="s">
        <v>799</v>
      </c>
    </row>
    <row r="454" spans="1:13" x14ac:dyDescent="0.4">
      <c r="A454" s="10"/>
      <c r="E454" t="s">
        <v>818</v>
      </c>
      <c r="F454" t="s">
        <v>617</v>
      </c>
      <c r="G454">
        <v>6000</v>
      </c>
      <c r="H454">
        <v>5000</v>
      </c>
      <c r="I454" s="16">
        <v>7.8E-2</v>
      </c>
      <c r="J454" s="13">
        <v>45343</v>
      </c>
      <c r="K454" s="45">
        <v>46074</v>
      </c>
      <c r="L454" t="s">
        <v>785</v>
      </c>
      <c r="M454" t="s">
        <v>799</v>
      </c>
    </row>
    <row r="455" spans="1:13" x14ac:dyDescent="0.4">
      <c r="A455" s="10"/>
      <c r="E455" t="s">
        <v>819</v>
      </c>
      <c r="F455" t="s">
        <v>617</v>
      </c>
      <c r="G455">
        <v>5000</v>
      </c>
      <c r="H455">
        <v>833</v>
      </c>
      <c r="I455" s="16">
        <v>7.8E-2</v>
      </c>
      <c r="J455" s="13">
        <v>45159</v>
      </c>
      <c r="K455" s="45">
        <v>45525</v>
      </c>
      <c r="L455" t="s">
        <v>785</v>
      </c>
      <c r="M455" t="s">
        <v>799</v>
      </c>
    </row>
    <row r="456" spans="1:13" x14ac:dyDescent="0.4">
      <c r="A456" s="10"/>
      <c r="E456" t="s">
        <v>820</v>
      </c>
      <c r="F456" t="s">
        <v>617</v>
      </c>
      <c r="G456">
        <v>3000</v>
      </c>
      <c r="H456">
        <v>1549</v>
      </c>
      <c r="I456" s="16">
        <v>7.8E-2</v>
      </c>
      <c r="J456" s="13">
        <v>45181</v>
      </c>
      <c r="K456" s="45">
        <v>45728</v>
      </c>
      <c r="L456" t="s">
        <v>795</v>
      </c>
      <c r="M456" t="s">
        <v>799</v>
      </c>
    </row>
    <row r="457" spans="1:13" x14ac:dyDescent="0.4">
      <c r="A457" s="10"/>
      <c r="E457" t="s">
        <v>820</v>
      </c>
      <c r="F457" t="s">
        <v>617</v>
      </c>
      <c r="G457">
        <v>2000</v>
      </c>
      <c r="H457">
        <v>1359</v>
      </c>
      <c r="I457" s="16">
        <v>7.8E-2</v>
      </c>
      <c r="J457" s="13">
        <v>45280</v>
      </c>
      <c r="K457" s="45">
        <v>45828</v>
      </c>
      <c r="L457" t="s">
        <v>795</v>
      </c>
      <c r="M457" t="s">
        <v>799</v>
      </c>
    </row>
    <row r="458" spans="1:13" x14ac:dyDescent="0.4">
      <c r="A458" s="10"/>
      <c r="E458" t="s">
        <v>820</v>
      </c>
      <c r="F458" t="s">
        <v>617</v>
      </c>
      <c r="G458">
        <v>2000</v>
      </c>
      <c r="H458">
        <v>1469</v>
      </c>
      <c r="I458" s="16">
        <v>0.08</v>
      </c>
      <c r="J458" s="13">
        <v>45308</v>
      </c>
      <c r="K458" s="45">
        <v>45855</v>
      </c>
      <c r="L458" t="s">
        <v>795</v>
      </c>
      <c r="M458" t="s">
        <v>799</v>
      </c>
    </row>
    <row r="459" spans="1:13" x14ac:dyDescent="0.4">
      <c r="A459" s="10"/>
      <c r="E459" t="s">
        <v>820</v>
      </c>
      <c r="F459" t="s">
        <v>617</v>
      </c>
      <c r="G459">
        <v>3000</v>
      </c>
      <c r="H459">
        <v>2838</v>
      </c>
      <c r="I459" s="16">
        <v>7.8E-2</v>
      </c>
      <c r="J459" s="13">
        <v>45440</v>
      </c>
      <c r="K459" s="45">
        <v>45989</v>
      </c>
      <c r="L459" t="s">
        <v>795</v>
      </c>
      <c r="M459" t="s">
        <v>799</v>
      </c>
    </row>
    <row r="460" spans="1:13" x14ac:dyDescent="0.4">
      <c r="A460" s="10"/>
      <c r="E460" t="s">
        <v>802</v>
      </c>
      <c r="G460">
        <v>39000</v>
      </c>
      <c r="H460">
        <v>21418</v>
      </c>
      <c r="I460" s="16">
        <v>7.6999999999999999E-2</v>
      </c>
      <c r="J460" s="13"/>
      <c r="K460" s="45"/>
    </row>
    <row r="461" spans="1:13" x14ac:dyDescent="0.4">
      <c r="A461" s="10"/>
      <c r="E461" t="s">
        <v>821</v>
      </c>
      <c r="F461" t="s">
        <v>822</v>
      </c>
      <c r="G461">
        <v>2000</v>
      </c>
      <c r="H461">
        <v>333</v>
      </c>
      <c r="I461" s="16">
        <v>8.5000000000000006E-2</v>
      </c>
      <c r="J461" s="13">
        <v>45005</v>
      </c>
      <c r="K461" s="45">
        <v>45555</v>
      </c>
      <c r="L461" t="s">
        <v>785</v>
      </c>
      <c r="M461" t="s">
        <v>799</v>
      </c>
    </row>
    <row r="462" spans="1:13" x14ac:dyDescent="0.4">
      <c r="A462" s="10"/>
      <c r="E462" t="s">
        <v>823</v>
      </c>
      <c r="F462" t="s">
        <v>822</v>
      </c>
      <c r="G462">
        <v>1000</v>
      </c>
      <c r="H462">
        <v>111</v>
      </c>
      <c r="I462" s="16">
        <v>8.6999999999999994E-2</v>
      </c>
      <c r="J462" s="13">
        <v>44981</v>
      </c>
      <c r="K462" s="45">
        <v>45528</v>
      </c>
      <c r="L462" t="s">
        <v>785</v>
      </c>
      <c r="M462" t="s">
        <v>799</v>
      </c>
    </row>
    <row r="463" spans="1:13" x14ac:dyDescent="0.4">
      <c r="A463" s="10"/>
      <c r="E463" t="s">
        <v>824</v>
      </c>
      <c r="F463" t="s">
        <v>822</v>
      </c>
      <c r="G463">
        <v>3000</v>
      </c>
      <c r="H463">
        <v>2667</v>
      </c>
      <c r="I463" s="16">
        <v>7.6999999999999999E-2</v>
      </c>
      <c r="J463" s="13">
        <v>45401</v>
      </c>
      <c r="K463" s="45">
        <v>45949</v>
      </c>
      <c r="L463" t="s">
        <v>785</v>
      </c>
      <c r="M463" t="s">
        <v>799</v>
      </c>
    </row>
    <row r="464" spans="1:13" x14ac:dyDescent="0.4">
      <c r="A464" s="10"/>
      <c r="E464" t="s">
        <v>825</v>
      </c>
      <c r="F464" t="s">
        <v>822</v>
      </c>
      <c r="G464">
        <v>1000</v>
      </c>
      <c r="H464">
        <v>444</v>
      </c>
      <c r="I464" s="16">
        <v>7.8E-2</v>
      </c>
      <c r="J464" s="13">
        <v>45160</v>
      </c>
      <c r="K464" s="45">
        <v>45710</v>
      </c>
      <c r="L464" t="s">
        <v>785</v>
      </c>
      <c r="M464" t="s">
        <v>799</v>
      </c>
    </row>
    <row r="465" spans="1:13" x14ac:dyDescent="0.4">
      <c r="A465" s="10"/>
      <c r="E465" t="s">
        <v>825</v>
      </c>
      <c r="F465" t="s">
        <v>822</v>
      </c>
      <c r="G465">
        <v>2000</v>
      </c>
      <c r="H465">
        <v>1667</v>
      </c>
      <c r="I465" s="16">
        <v>7.8E-2</v>
      </c>
      <c r="J465" s="13">
        <v>45365</v>
      </c>
      <c r="K465" s="45">
        <v>45914</v>
      </c>
      <c r="L465" t="s">
        <v>785</v>
      </c>
      <c r="M465" t="s">
        <v>799</v>
      </c>
    </row>
    <row r="466" spans="1:13" x14ac:dyDescent="0.4">
      <c r="A466" s="10"/>
      <c r="E466" t="s">
        <v>826</v>
      </c>
      <c r="F466" t="s">
        <v>822</v>
      </c>
      <c r="G466">
        <v>3000</v>
      </c>
      <c r="H466">
        <v>1043</v>
      </c>
      <c r="I466" s="16">
        <v>8.5000000000000006E-2</v>
      </c>
      <c r="J466" s="13">
        <v>45076</v>
      </c>
      <c r="K466" s="45">
        <v>45626</v>
      </c>
      <c r="L466" t="s">
        <v>795</v>
      </c>
      <c r="M466" t="s">
        <v>789</v>
      </c>
    </row>
    <row r="467" spans="1:13" x14ac:dyDescent="0.4">
      <c r="A467" s="10"/>
      <c r="E467" t="s">
        <v>827</v>
      </c>
      <c r="F467" t="s">
        <v>822</v>
      </c>
      <c r="G467">
        <v>2000</v>
      </c>
      <c r="H467">
        <v>444</v>
      </c>
      <c r="I467" s="16">
        <v>8.5000000000000006E-2</v>
      </c>
      <c r="J467" s="13">
        <v>45040</v>
      </c>
      <c r="K467" s="45">
        <v>45589</v>
      </c>
      <c r="L467" t="s">
        <v>785</v>
      </c>
      <c r="M467" t="s">
        <v>799</v>
      </c>
    </row>
    <row r="468" spans="1:13" x14ac:dyDescent="0.4">
      <c r="A468" s="10"/>
      <c r="E468" t="s">
        <v>827</v>
      </c>
      <c r="F468" t="s">
        <v>822</v>
      </c>
      <c r="G468">
        <v>1000</v>
      </c>
      <c r="H468">
        <v>500</v>
      </c>
      <c r="I468" s="16">
        <v>7.4999999999999997E-2</v>
      </c>
      <c r="J468" s="13">
        <v>45194</v>
      </c>
      <c r="K468" s="45">
        <v>45741</v>
      </c>
      <c r="L468" t="s">
        <v>785</v>
      </c>
      <c r="M468" t="s">
        <v>799</v>
      </c>
    </row>
    <row r="469" spans="1:13" x14ac:dyDescent="0.4">
      <c r="A469" s="10"/>
      <c r="E469" t="s">
        <v>827</v>
      </c>
      <c r="F469" t="s">
        <v>822</v>
      </c>
      <c r="G469">
        <v>1000</v>
      </c>
      <c r="H469">
        <v>944</v>
      </c>
      <c r="I469" s="16">
        <v>7.8E-2</v>
      </c>
      <c r="J469" s="13">
        <v>45412</v>
      </c>
      <c r="K469" s="45">
        <v>45960</v>
      </c>
      <c r="L469" t="s">
        <v>785</v>
      </c>
      <c r="M469" t="s">
        <v>799</v>
      </c>
    </row>
    <row r="470" spans="1:13" x14ac:dyDescent="0.4">
      <c r="A470" s="10"/>
      <c r="E470" t="s">
        <v>828</v>
      </c>
      <c r="F470" t="s">
        <v>822</v>
      </c>
      <c r="G470">
        <v>1000</v>
      </c>
      <c r="H470">
        <v>757</v>
      </c>
      <c r="I470" s="16">
        <v>7.8E-2</v>
      </c>
      <c r="J470" s="13">
        <v>45372</v>
      </c>
      <c r="K470" s="45">
        <v>45737</v>
      </c>
      <c r="L470" t="s">
        <v>795</v>
      </c>
      <c r="M470" t="s">
        <v>799</v>
      </c>
    </row>
    <row r="471" spans="1:13" x14ac:dyDescent="0.4">
      <c r="A471" s="10"/>
      <c r="E471" t="s">
        <v>829</v>
      </c>
      <c r="F471" t="s">
        <v>822</v>
      </c>
      <c r="G471">
        <v>1000</v>
      </c>
      <c r="H471">
        <v>290</v>
      </c>
      <c r="I471" s="16">
        <v>0.08</v>
      </c>
      <c r="J471" s="13">
        <v>45065</v>
      </c>
      <c r="K471" s="45">
        <v>45615</v>
      </c>
      <c r="L471" t="s">
        <v>795</v>
      </c>
      <c r="M471" t="s">
        <v>799</v>
      </c>
    </row>
    <row r="472" spans="1:13" x14ac:dyDescent="0.4">
      <c r="A472" s="10"/>
      <c r="E472" t="s">
        <v>830</v>
      </c>
      <c r="F472" t="s">
        <v>822</v>
      </c>
      <c r="G472">
        <v>1000</v>
      </c>
      <c r="H472">
        <v>417</v>
      </c>
      <c r="I472" s="16">
        <v>8.5000000000000006E-2</v>
      </c>
      <c r="J472" s="13">
        <v>45033</v>
      </c>
      <c r="K472" s="45">
        <v>45764</v>
      </c>
      <c r="L472" t="s">
        <v>785</v>
      </c>
      <c r="M472" t="s">
        <v>799</v>
      </c>
    </row>
    <row r="473" spans="1:13" x14ac:dyDescent="0.4">
      <c r="A473" s="10"/>
      <c r="E473" t="s">
        <v>830</v>
      </c>
      <c r="F473" t="s">
        <v>822</v>
      </c>
      <c r="G473">
        <v>1000</v>
      </c>
      <c r="H473">
        <v>800</v>
      </c>
      <c r="I473" s="16">
        <v>7.8E-2</v>
      </c>
      <c r="J473" s="13">
        <v>45343</v>
      </c>
      <c r="K473" s="45">
        <v>45951</v>
      </c>
      <c r="L473" t="s">
        <v>785</v>
      </c>
      <c r="M473" t="s">
        <v>799</v>
      </c>
    </row>
    <row r="474" spans="1:13" x14ac:dyDescent="0.4">
      <c r="A474" s="10"/>
      <c r="E474" t="s">
        <v>831</v>
      </c>
      <c r="F474" t="s">
        <v>822</v>
      </c>
      <c r="G474">
        <v>2000</v>
      </c>
      <c r="H474">
        <v>790</v>
      </c>
      <c r="I474" s="16">
        <v>0.08</v>
      </c>
      <c r="J474" s="13">
        <v>45110</v>
      </c>
      <c r="K474" s="45">
        <v>45660</v>
      </c>
      <c r="L474" t="s">
        <v>641</v>
      </c>
      <c r="M474" t="s">
        <v>789</v>
      </c>
    </row>
    <row r="475" spans="1:13" x14ac:dyDescent="0.4">
      <c r="A475" s="10"/>
      <c r="E475" t="s">
        <v>832</v>
      </c>
      <c r="F475" t="s">
        <v>822</v>
      </c>
      <c r="G475">
        <v>1500</v>
      </c>
      <c r="H475">
        <v>500</v>
      </c>
      <c r="I475" s="16">
        <v>8.5000000000000006E-2</v>
      </c>
      <c r="J475" s="13">
        <v>45096</v>
      </c>
      <c r="K475" s="45">
        <v>45645</v>
      </c>
      <c r="L475" t="s">
        <v>785</v>
      </c>
      <c r="M475" t="s">
        <v>789</v>
      </c>
    </row>
    <row r="476" spans="1:13" x14ac:dyDescent="0.4">
      <c r="A476" s="10"/>
      <c r="E476" t="s">
        <v>832</v>
      </c>
      <c r="F476" t="s">
        <v>822</v>
      </c>
      <c r="G476">
        <v>1500</v>
      </c>
      <c r="H476">
        <v>1083</v>
      </c>
      <c r="I476" s="16">
        <v>7.8E-2</v>
      </c>
      <c r="J476" s="13">
        <v>45310</v>
      </c>
      <c r="K476" s="45">
        <v>45857</v>
      </c>
      <c r="L476" t="s">
        <v>785</v>
      </c>
      <c r="M476" t="s">
        <v>799</v>
      </c>
    </row>
    <row r="477" spans="1:13" x14ac:dyDescent="0.4">
      <c r="A477" s="10"/>
      <c r="E477" t="s">
        <v>833</v>
      </c>
      <c r="F477" t="s">
        <v>822</v>
      </c>
      <c r="G477">
        <v>3000</v>
      </c>
      <c r="H477">
        <v>1038</v>
      </c>
      <c r="I477" s="16">
        <v>7.5999999999999998E-2</v>
      </c>
      <c r="J477" s="13">
        <v>45090</v>
      </c>
      <c r="K477" s="45">
        <v>45639</v>
      </c>
      <c r="L477" t="s">
        <v>795</v>
      </c>
      <c r="M477" t="s">
        <v>799</v>
      </c>
    </row>
    <row r="478" spans="1:13" x14ac:dyDescent="0.4">
      <c r="A478" s="10"/>
      <c r="E478" t="s">
        <v>834</v>
      </c>
      <c r="F478" t="s">
        <v>822</v>
      </c>
      <c r="G478">
        <v>2000</v>
      </c>
      <c r="H478">
        <v>917</v>
      </c>
      <c r="I478" s="16">
        <v>7.4999999999999997E-2</v>
      </c>
      <c r="J478" s="13">
        <v>45145</v>
      </c>
      <c r="K478" s="45">
        <v>45695</v>
      </c>
      <c r="L478" t="s">
        <v>795</v>
      </c>
      <c r="M478" t="s">
        <v>799</v>
      </c>
    </row>
    <row r="479" spans="1:13" x14ac:dyDescent="0.4">
      <c r="A479" s="10"/>
      <c r="E479" t="s">
        <v>834</v>
      </c>
      <c r="F479" t="s">
        <v>822</v>
      </c>
      <c r="G479">
        <v>2000</v>
      </c>
      <c r="H479">
        <v>1683</v>
      </c>
      <c r="I479" s="16">
        <v>7.8E-2</v>
      </c>
      <c r="J479" s="13">
        <v>45376</v>
      </c>
      <c r="K479" s="45">
        <v>45925</v>
      </c>
      <c r="L479" t="s">
        <v>795</v>
      </c>
      <c r="M479" t="s">
        <v>835</v>
      </c>
    </row>
    <row r="480" spans="1:13" x14ac:dyDescent="0.4">
      <c r="A480" s="10"/>
      <c r="E480" t="s">
        <v>836</v>
      </c>
      <c r="F480" t="s">
        <v>822</v>
      </c>
      <c r="G480">
        <v>1000</v>
      </c>
      <c r="H480">
        <v>611</v>
      </c>
      <c r="I480" s="16">
        <v>8.5000000000000006E-2</v>
      </c>
      <c r="J480" s="13">
        <v>45236</v>
      </c>
      <c r="K480" s="45">
        <v>45783</v>
      </c>
      <c r="L480" t="s">
        <v>785</v>
      </c>
      <c r="M480" t="s">
        <v>789</v>
      </c>
    </row>
    <row r="481" spans="1:13" x14ac:dyDescent="0.4">
      <c r="A481" s="10"/>
      <c r="E481" t="s">
        <v>836</v>
      </c>
      <c r="F481" t="s">
        <v>822</v>
      </c>
      <c r="G481">
        <v>1000</v>
      </c>
      <c r="H481">
        <v>778</v>
      </c>
      <c r="I481" s="16">
        <v>0.08</v>
      </c>
      <c r="J481" s="13">
        <v>45328</v>
      </c>
      <c r="K481" s="45">
        <v>45875</v>
      </c>
      <c r="L481" t="s">
        <v>785</v>
      </c>
      <c r="M481" t="s">
        <v>789</v>
      </c>
    </row>
    <row r="482" spans="1:13" x14ac:dyDescent="0.4">
      <c r="A482" s="10"/>
      <c r="E482" t="s">
        <v>836</v>
      </c>
      <c r="F482" t="s">
        <v>822</v>
      </c>
      <c r="G482">
        <v>850</v>
      </c>
      <c r="H482">
        <v>850</v>
      </c>
      <c r="I482" s="16">
        <v>7.9000000000000001E-2</v>
      </c>
      <c r="J482" s="13">
        <v>45385</v>
      </c>
      <c r="K482" s="45">
        <v>45554</v>
      </c>
      <c r="L482" t="s">
        <v>641</v>
      </c>
      <c r="M482" t="s">
        <v>837</v>
      </c>
    </row>
    <row r="483" spans="1:13" x14ac:dyDescent="0.4">
      <c r="A483" s="10"/>
      <c r="E483" t="s">
        <v>838</v>
      </c>
      <c r="F483" t="s">
        <v>822</v>
      </c>
      <c r="G483">
        <v>3000</v>
      </c>
      <c r="H483">
        <v>667</v>
      </c>
      <c r="I483" s="16">
        <v>7.4999999999999997E-2</v>
      </c>
      <c r="J483" s="13">
        <v>45026</v>
      </c>
      <c r="K483" s="45">
        <v>45575</v>
      </c>
      <c r="L483" t="s">
        <v>785</v>
      </c>
      <c r="M483" t="s">
        <v>799</v>
      </c>
    </row>
    <row r="484" spans="1:13" x14ac:dyDescent="0.4">
      <c r="A484" s="10"/>
      <c r="E484" t="s">
        <v>838</v>
      </c>
      <c r="F484" t="s">
        <v>822</v>
      </c>
      <c r="G484">
        <v>1300</v>
      </c>
      <c r="H484">
        <v>1011</v>
      </c>
      <c r="I484" s="16">
        <v>7.8E-2</v>
      </c>
      <c r="J484" s="13">
        <v>45322</v>
      </c>
      <c r="K484" s="45">
        <v>45869</v>
      </c>
      <c r="L484" t="s">
        <v>785</v>
      </c>
      <c r="M484" t="s">
        <v>799</v>
      </c>
    </row>
    <row r="485" spans="1:13" x14ac:dyDescent="0.4">
      <c r="A485" s="10"/>
      <c r="E485" t="s">
        <v>839</v>
      </c>
      <c r="F485" t="s">
        <v>822</v>
      </c>
      <c r="G485">
        <v>5000</v>
      </c>
      <c r="H485">
        <v>3056</v>
      </c>
      <c r="I485" s="16">
        <v>7.8E-2</v>
      </c>
      <c r="J485" s="13">
        <v>45252</v>
      </c>
      <c r="K485" s="45">
        <v>45799</v>
      </c>
      <c r="L485" t="s">
        <v>785</v>
      </c>
      <c r="M485" t="s">
        <v>799</v>
      </c>
    </row>
    <row r="486" spans="1:13" x14ac:dyDescent="0.4">
      <c r="A486" s="10"/>
      <c r="E486" t="s">
        <v>840</v>
      </c>
      <c r="F486" t="s">
        <v>822</v>
      </c>
      <c r="G486">
        <v>3000</v>
      </c>
      <c r="H486">
        <v>352</v>
      </c>
      <c r="I486" s="16">
        <v>0.09</v>
      </c>
      <c r="J486" s="13">
        <v>44985</v>
      </c>
      <c r="K486" s="45">
        <v>45532</v>
      </c>
      <c r="L486" t="s">
        <v>795</v>
      </c>
      <c r="M486" t="s">
        <v>799</v>
      </c>
    </row>
    <row r="487" spans="1:13" x14ac:dyDescent="0.4">
      <c r="A487" s="10"/>
      <c r="E487" t="s">
        <v>841</v>
      </c>
      <c r="F487" t="s">
        <v>822</v>
      </c>
      <c r="G487">
        <v>3000</v>
      </c>
      <c r="H487">
        <v>2859</v>
      </c>
      <c r="I487" s="16">
        <v>7.5999999999999998E-2</v>
      </c>
      <c r="J487" s="13">
        <v>45433</v>
      </c>
      <c r="K487" s="45">
        <v>46043</v>
      </c>
      <c r="L487" t="s">
        <v>795</v>
      </c>
      <c r="M487" t="s">
        <v>799</v>
      </c>
    </row>
    <row r="488" spans="1:13" x14ac:dyDescent="0.4">
      <c r="A488" s="10"/>
      <c r="E488" t="s">
        <v>842</v>
      </c>
      <c r="F488" t="s">
        <v>822</v>
      </c>
      <c r="G488">
        <v>2000</v>
      </c>
      <c r="H488">
        <v>1778</v>
      </c>
      <c r="I488" s="16">
        <v>7.8E-2</v>
      </c>
      <c r="J488" s="13">
        <v>45386</v>
      </c>
      <c r="K488" s="45">
        <v>45934</v>
      </c>
      <c r="L488" t="s">
        <v>785</v>
      </c>
      <c r="M488" t="s">
        <v>799</v>
      </c>
    </row>
    <row r="489" spans="1:13" x14ac:dyDescent="0.4">
      <c r="A489" s="10"/>
      <c r="E489" t="s">
        <v>842</v>
      </c>
      <c r="F489" t="s">
        <v>822</v>
      </c>
      <c r="G489">
        <v>2000</v>
      </c>
      <c r="H489">
        <v>2000</v>
      </c>
      <c r="I489" s="16">
        <v>7.8E-2</v>
      </c>
      <c r="J489" s="13">
        <v>45470</v>
      </c>
      <c r="K489" s="45">
        <v>45653</v>
      </c>
      <c r="L489" t="s">
        <v>785</v>
      </c>
      <c r="M489" t="s">
        <v>789</v>
      </c>
    </row>
    <row r="490" spans="1:13" x14ac:dyDescent="0.4">
      <c r="A490" s="10"/>
      <c r="E490" t="s">
        <v>843</v>
      </c>
      <c r="F490" t="s">
        <v>822</v>
      </c>
      <c r="G490">
        <v>3000</v>
      </c>
      <c r="H490">
        <v>2667</v>
      </c>
      <c r="I490" s="16">
        <v>7.5999999999999998E-2</v>
      </c>
      <c r="J490" s="13">
        <v>45009</v>
      </c>
      <c r="K490" s="45">
        <v>45559</v>
      </c>
      <c r="L490" t="s">
        <v>785</v>
      </c>
      <c r="M490" t="s">
        <v>799</v>
      </c>
    </row>
    <row r="491" spans="1:13" x14ac:dyDescent="0.4">
      <c r="A491" s="10"/>
      <c r="E491" t="s">
        <v>844</v>
      </c>
      <c r="F491" t="s">
        <v>822</v>
      </c>
      <c r="G491">
        <v>2000</v>
      </c>
      <c r="H491">
        <v>352</v>
      </c>
      <c r="I491" s="16">
        <v>8.5000000000000006E-2</v>
      </c>
      <c r="J491" s="13">
        <v>45008</v>
      </c>
      <c r="K491" s="45">
        <v>45558</v>
      </c>
      <c r="L491" t="s">
        <v>795</v>
      </c>
      <c r="M491" t="s">
        <v>799</v>
      </c>
    </row>
    <row r="492" spans="1:13" x14ac:dyDescent="0.4">
      <c r="A492" s="10"/>
      <c r="E492" t="s">
        <v>844</v>
      </c>
      <c r="F492" t="s">
        <v>822</v>
      </c>
      <c r="G492">
        <v>2000</v>
      </c>
      <c r="H492">
        <v>1895</v>
      </c>
      <c r="I492" s="16">
        <v>7.6999999999999999E-2</v>
      </c>
      <c r="J492" s="13">
        <v>45429</v>
      </c>
      <c r="K492" s="45">
        <v>45978</v>
      </c>
      <c r="L492" t="s">
        <v>795</v>
      </c>
      <c r="M492" t="s">
        <v>799</v>
      </c>
    </row>
    <row r="493" spans="1:13" x14ac:dyDescent="0.4">
      <c r="A493" s="10"/>
      <c r="E493" t="s">
        <v>845</v>
      </c>
      <c r="F493" t="s">
        <v>822</v>
      </c>
      <c r="G493">
        <v>3000</v>
      </c>
      <c r="H493">
        <v>351</v>
      </c>
      <c r="I493" s="16">
        <v>8.5000000000000006E-2</v>
      </c>
      <c r="J493" s="13">
        <v>44985</v>
      </c>
      <c r="K493" s="45">
        <v>45532</v>
      </c>
      <c r="L493" t="s">
        <v>795</v>
      </c>
      <c r="M493" t="s">
        <v>799</v>
      </c>
    </row>
    <row r="494" spans="1:13" x14ac:dyDescent="0.4">
      <c r="A494" s="10"/>
      <c r="E494" t="s">
        <v>845</v>
      </c>
      <c r="F494" t="s">
        <v>822</v>
      </c>
      <c r="G494">
        <v>2000</v>
      </c>
      <c r="H494">
        <v>2000</v>
      </c>
      <c r="I494" s="16">
        <v>7.4999999999999997E-2</v>
      </c>
      <c r="J494" s="13">
        <v>45457</v>
      </c>
      <c r="K494" s="45">
        <v>46005</v>
      </c>
      <c r="L494" t="s">
        <v>795</v>
      </c>
      <c r="M494" t="s">
        <v>799</v>
      </c>
    </row>
    <row r="495" spans="1:13" x14ac:dyDescent="0.4">
      <c r="A495" s="10"/>
      <c r="E495" t="s">
        <v>846</v>
      </c>
      <c r="F495" t="s">
        <v>822</v>
      </c>
      <c r="G495">
        <v>2000</v>
      </c>
      <c r="H495">
        <v>1444</v>
      </c>
      <c r="I495" s="16">
        <v>7.9000000000000001E-2</v>
      </c>
      <c r="J495" s="13">
        <v>45308</v>
      </c>
      <c r="K495" s="45">
        <v>45855</v>
      </c>
      <c r="L495" t="s">
        <v>785</v>
      </c>
      <c r="M495" t="s">
        <v>799</v>
      </c>
    </row>
    <row r="496" spans="1:13" x14ac:dyDescent="0.4">
      <c r="A496" s="10"/>
      <c r="E496" t="s">
        <v>847</v>
      </c>
      <c r="F496" t="s">
        <v>822</v>
      </c>
      <c r="G496">
        <v>3000</v>
      </c>
      <c r="H496">
        <v>167</v>
      </c>
      <c r="I496" s="16">
        <v>0.09</v>
      </c>
      <c r="J496" s="13">
        <v>44932</v>
      </c>
      <c r="K496" s="45">
        <v>45479</v>
      </c>
      <c r="L496" t="s">
        <v>785</v>
      </c>
      <c r="M496" t="s">
        <v>799</v>
      </c>
    </row>
    <row r="497" spans="1:13" x14ac:dyDescent="0.4">
      <c r="A497" s="10"/>
      <c r="E497" t="s">
        <v>847</v>
      </c>
      <c r="F497" t="s">
        <v>822</v>
      </c>
      <c r="G497">
        <v>3000</v>
      </c>
      <c r="H497">
        <v>2000</v>
      </c>
      <c r="I497" s="16">
        <v>7.8E-2</v>
      </c>
      <c r="J497" s="13">
        <v>45267</v>
      </c>
      <c r="K497" s="45">
        <v>45815</v>
      </c>
      <c r="L497" t="s">
        <v>785</v>
      </c>
      <c r="M497" t="s">
        <v>799</v>
      </c>
    </row>
    <row r="498" spans="1:13" x14ac:dyDescent="0.4">
      <c r="A498" s="10"/>
      <c r="E498" t="s">
        <v>847</v>
      </c>
      <c r="F498" t="s">
        <v>822</v>
      </c>
      <c r="G498">
        <v>4000</v>
      </c>
      <c r="H498">
        <v>4000</v>
      </c>
      <c r="I498" s="16">
        <v>7.5999999999999998E-2</v>
      </c>
      <c r="J498" s="13">
        <v>45442</v>
      </c>
      <c r="K498" s="45">
        <v>45991</v>
      </c>
      <c r="L498" t="s">
        <v>785</v>
      </c>
      <c r="M498" t="s">
        <v>799</v>
      </c>
    </row>
    <row r="499" spans="1:13" x14ac:dyDescent="0.4">
      <c r="A499" s="10"/>
      <c r="E499" t="s">
        <v>800</v>
      </c>
      <c r="G499">
        <v>78150</v>
      </c>
      <c r="H499">
        <v>45268</v>
      </c>
      <c r="I499" s="16">
        <v>7.8E-2</v>
      </c>
      <c r="J499" s="13"/>
      <c r="K499" s="45"/>
    </row>
    <row r="500" spans="1:13" x14ac:dyDescent="0.4">
      <c r="A500" s="10"/>
      <c r="E500" t="s">
        <v>848</v>
      </c>
      <c r="F500" t="s">
        <v>849</v>
      </c>
      <c r="G500">
        <v>5000</v>
      </c>
      <c r="H500">
        <v>380</v>
      </c>
      <c r="I500" s="16">
        <v>7.4999999999999997E-2</v>
      </c>
      <c r="J500" s="13">
        <v>45114</v>
      </c>
      <c r="K500" s="45">
        <v>45480</v>
      </c>
      <c r="L500" t="s">
        <v>785</v>
      </c>
      <c r="M500" t="s">
        <v>799</v>
      </c>
    </row>
    <row r="501" spans="1:13" x14ac:dyDescent="0.4">
      <c r="A501" s="10"/>
      <c r="E501" t="s">
        <v>848</v>
      </c>
      <c r="F501" t="s">
        <v>849</v>
      </c>
      <c r="G501">
        <v>4000</v>
      </c>
      <c r="H501">
        <v>1669</v>
      </c>
      <c r="I501" s="16">
        <v>7.8E-2</v>
      </c>
      <c r="J501" s="13">
        <v>45229</v>
      </c>
      <c r="K501" s="45">
        <v>45595</v>
      </c>
      <c r="L501" t="s">
        <v>785</v>
      </c>
      <c r="M501" t="s">
        <v>799</v>
      </c>
    </row>
    <row r="502" spans="1:13" x14ac:dyDescent="0.4">
      <c r="A502" s="10"/>
      <c r="E502" t="s">
        <v>848</v>
      </c>
      <c r="F502" t="s">
        <v>849</v>
      </c>
      <c r="G502">
        <v>4000</v>
      </c>
      <c r="H502">
        <v>1669</v>
      </c>
      <c r="I502" s="16">
        <v>7.8E-2</v>
      </c>
      <c r="J502" s="13">
        <v>45238</v>
      </c>
      <c r="K502" s="45">
        <v>45604</v>
      </c>
      <c r="L502" t="s">
        <v>785</v>
      </c>
      <c r="M502" t="s">
        <v>799</v>
      </c>
    </row>
    <row r="503" spans="1:13" x14ac:dyDescent="0.4">
      <c r="A503" s="10"/>
      <c r="E503" t="s">
        <v>850</v>
      </c>
      <c r="G503">
        <v>13000</v>
      </c>
      <c r="H503">
        <v>3718</v>
      </c>
      <c r="I503" s="16">
        <v>7.8E-2</v>
      </c>
      <c r="J503" s="13"/>
      <c r="K503" s="45"/>
    </row>
    <row r="504" spans="1:13" x14ac:dyDescent="0.4">
      <c r="A504" s="10"/>
      <c r="E504" t="s">
        <v>851</v>
      </c>
      <c r="F504" t="s">
        <v>852</v>
      </c>
      <c r="G504">
        <v>7400</v>
      </c>
      <c r="H504">
        <v>4352</v>
      </c>
      <c r="I504" s="16">
        <v>0.104</v>
      </c>
      <c r="J504" s="13" t="s">
        <v>15</v>
      </c>
      <c r="K504" s="45" t="s">
        <v>15</v>
      </c>
      <c r="L504" t="s">
        <v>853</v>
      </c>
      <c r="M504" t="s">
        <v>789</v>
      </c>
    </row>
    <row r="505" spans="1:13" x14ac:dyDescent="0.4">
      <c r="A505" s="10"/>
      <c r="J505" s="13"/>
      <c r="K505" s="45"/>
      <c r="L505" t="s">
        <v>854</v>
      </c>
    </row>
    <row r="506" spans="1:13" x14ac:dyDescent="0.4">
      <c r="A506" s="10"/>
      <c r="E506" t="s">
        <v>855</v>
      </c>
      <c r="G506">
        <v>7400</v>
      </c>
      <c r="H506">
        <v>4352</v>
      </c>
      <c r="I506">
        <v>0.104</v>
      </c>
      <c r="J506" s="13"/>
      <c r="K506" s="45"/>
    </row>
    <row r="507" spans="1:13" x14ac:dyDescent="0.4">
      <c r="A507" s="10"/>
      <c r="E507" t="s">
        <v>856</v>
      </c>
      <c r="G507">
        <v>27300</v>
      </c>
      <c r="H507">
        <v>24467</v>
      </c>
      <c r="I507" t="s">
        <v>857</v>
      </c>
      <c r="J507" s="13">
        <v>44715</v>
      </c>
      <c r="K507" s="45">
        <v>46141</v>
      </c>
      <c r="M507" t="s">
        <v>789</v>
      </c>
    </row>
    <row r="508" spans="1:13" x14ac:dyDescent="0.4">
      <c r="A508" s="10"/>
      <c r="E508" t="s">
        <v>858</v>
      </c>
      <c r="G508">
        <v>27300</v>
      </c>
      <c r="H508">
        <v>24467</v>
      </c>
      <c r="I508">
        <v>7.5999999999999998E-2</v>
      </c>
    </row>
    <row r="509" spans="1:13" x14ac:dyDescent="0.4">
      <c r="A509" s="10"/>
      <c r="E509" t="s">
        <v>806</v>
      </c>
      <c r="G509">
        <v>171350</v>
      </c>
      <c r="H509">
        <v>104805</v>
      </c>
    </row>
    <row r="510" spans="1:13" x14ac:dyDescent="0.4">
      <c r="A510" s="10"/>
    </row>
    <row r="511" spans="1:13" x14ac:dyDescent="0.4">
      <c r="A511" s="10"/>
    </row>
    <row r="512" spans="1:13" x14ac:dyDescent="0.4">
      <c r="A512" s="10"/>
    </row>
    <row r="513" spans="1:7" x14ac:dyDescent="0.4">
      <c r="A513" s="10"/>
      <c r="B513" s="4" t="s">
        <v>1225</v>
      </c>
      <c r="C513" s="4">
        <v>34</v>
      </c>
      <c r="D513" s="4" t="s">
        <v>1265</v>
      </c>
    </row>
    <row r="514" spans="1:7" x14ac:dyDescent="0.4">
      <c r="A514" s="10"/>
      <c r="E514" t="s">
        <v>618</v>
      </c>
      <c r="F514" s="14" t="s">
        <v>380</v>
      </c>
      <c r="G514" t="s">
        <v>613</v>
      </c>
    </row>
    <row r="515" spans="1:7" x14ac:dyDescent="0.4">
      <c r="A515" s="10"/>
      <c r="E515" t="s">
        <v>807</v>
      </c>
      <c r="F515" s="14">
        <v>5583</v>
      </c>
      <c r="G515" s="12">
        <f t="shared" ref="G515:G520" si="29">F515/$F$521</f>
        <v>5.3269850962731138E-2</v>
      </c>
    </row>
    <row r="516" spans="1:7" x14ac:dyDescent="0.4">
      <c r="A516" s="10"/>
      <c r="E516" t="s">
        <v>859</v>
      </c>
      <c r="F516" s="14">
        <v>4352</v>
      </c>
      <c r="G516" s="12">
        <f t="shared" si="29"/>
        <v>4.152434020952999E-2</v>
      </c>
    </row>
    <row r="517" spans="1:7" x14ac:dyDescent="0.4">
      <c r="A517" s="10"/>
      <c r="E517" t="s">
        <v>615</v>
      </c>
      <c r="F517" s="14">
        <v>45268</v>
      </c>
      <c r="G517" s="12">
        <f t="shared" si="29"/>
        <v>0.43192183653607619</v>
      </c>
    </row>
    <row r="518" spans="1:7" x14ac:dyDescent="0.4">
      <c r="A518" s="10"/>
      <c r="E518" t="s">
        <v>620</v>
      </c>
      <c r="F518" s="14">
        <v>21418</v>
      </c>
      <c r="G518" s="12">
        <f t="shared" si="29"/>
        <v>0.20435852909184588</v>
      </c>
    </row>
    <row r="519" spans="1:7" x14ac:dyDescent="0.4">
      <c r="A519" s="10"/>
      <c r="E519" t="s">
        <v>860</v>
      </c>
      <c r="F519" s="14">
        <v>3718</v>
      </c>
      <c r="G519" s="12">
        <f t="shared" si="29"/>
        <v>3.5475068221285044E-2</v>
      </c>
    </row>
    <row r="520" spans="1:7" x14ac:dyDescent="0.4">
      <c r="A520" s="10"/>
      <c r="E520" t="s">
        <v>616</v>
      </c>
      <c r="F520" s="14">
        <v>24467</v>
      </c>
      <c r="G520" s="12">
        <f t="shared" si="29"/>
        <v>0.23345037497853177</v>
      </c>
    </row>
    <row r="521" spans="1:7" x14ac:dyDescent="0.4">
      <c r="A521" s="10"/>
      <c r="E521" t="s">
        <v>622</v>
      </c>
      <c r="F521" s="14">
        <f>SUM(F515:F520)</f>
        <v>104806</v>
      </c>
      <c r="G521" s="12">
        <f t="shared" ref="G521" si="30">SUM(G515:G520)</f>
        <v>1</v>
      </c>
    </row>
    <row r="522" spans="1:7" x14ac:dyDescent="0.4">
      <c r="A522" s="10"/>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156"/>
  <sheetViews>
    <sheetView showGridLines="0" zoomScale="85" zoomScaleNormal="85" workbookViewId="0">
      <selection activeCell="G144" sqref="G144"/>
    </sheetView>
  </sheetViews>
  <sheetFormatPr defaultRowHeight="17.399999999999999" x14ac:dyDescent="0.4"/>
  <cols>
    <col min="1" max="1" width="3.3984375" customWidth="1"/>
    <col min="2" max="5" width="17.296875" customWidth="1"/>
    <col min="6" max="6" width="17.296875" style="4" customWidth="1"/>
    <col min="7" max="8" width="17.296875" customWidth="1"/>
    <col min="9" max="9" width="3.796875" customWidth="1"/>
    <col min="10" max="10" width="2.69921875" customWidth="1"/>
    <col min="11" max="13" width="16.09765625" customWidth="1"/>
  </cols>
  <sheetData>
    <row r="1" spans="2:13" x14ac:dyDescent="0.4">
      <c r="E1" t="s">
        <v>517</v>
      </c>
      <c r="F1" s="4" t="s">
        <v>526</v>
      </c>
    </row>
    <row r="2" spans="2:13" x14ac:dyDescent="0.4">
      <c r="E2" t="s">
        <v>519</v>
      </c>
      <c r="F2" s="4" t="s">
        <v>523</v>
      </c>
    </row>
    <row r="3" spans="2:13" x14ac:dyDescent="0.4">
      <c r="E3" t="s">
        <v>521</v>
      </c>
      <c r="F3" s="4" t="s">
        <v>527</v>
      </c>
    </row>
    <row r="4" spans="2:13" x14ac:dyDescent="0.4">
      <c r="C4" s="1"/>
      <c r="D4" s="1"/>
      <c r="E4" s="1"/>
      <c r="F4" s="8"/>
      <c r="G4" s="1"/>
      <c r="H4" s="1"/>
      <c r="J4" s="2"/>
      <c r="K4" s="3" t="s">
        <v>510</v>
      </c>
    </row>
    <row r="5" spans="2:13" x14ac:dyDescent="0.4">
      <c r="B5" t="s">
        <v>0</v>
      </c>
      <c r="C5" s="1"/>
      <c r="D5" s="1"/>
      <c r="E5" s="1"/>
      <c r="F5" s="8"/>
      <c r="G5" s="1"/>
      <c r="H5" s="1"/>
      <c r="J5" s="2"/>
      <c r="K5" t="s">
        <v>511</v>
      </c>
      <c r="L5" t="s">
        <v>512</v>
      </c>
      <c r="M5" t="s">
        <v>513</v>
      </c>
    </row>
    <row r="6" spans="2:13" s="4" customFormat="1" x14ac:dyDescent="0.4">
      <c r="B6" s="5" t="s">
        <v>1</v>
      </c>
      <c r="C6" s="6" t="s">
        <v>2</v>
      </c>
      <c r="D6" s="6" t="s">
        <v>3</v>
      </c>
      <c r="E6" s="6" t="s">
        <v>515</v>
      </c>
      <c r="F6" s="6" t="s">
        <v>525</v>
      </c>
      <c r="G6" s="6" t="s">
        <v>4</v>
      </c>
      <c r="H6" s="6" t="s">
        <v>5</v>
      </c>
      <c r="J6" s="7"/>
      <c r="K6" s="6">
        <v>1</v>
      </c>
      <c r="L6" s="6">
        <f>K6+1</f>
        <v>2</v>
      </c>
      <c r="M6" s="6">
        <f t="shared" ref="M6" si="0">L6+1</f>
        <v>3</v>
      </c>
    </row>
    <row r="7" spans="2:13" x14ac:dyDescent="0.4">
      <c r="B7" t="s">
        <v>6</v>
      </c>
      <c r="C7" s="1" t="s">
        <v>7</v>
      </c>
      <c r="D7" s="1" t="s">
        <v>8</v>
      </c>
      <c r="E7" s="8" t="s">
        <v>516</v>
      </c>
      <c r="F7" s="8" t="s">
        <v>524</v>
      </c>
      <c r="G7" s="1" t="s">
        <v>10</v>
      </c>
      <c r="H7" s="1" t="s">
        <v>11</v>
      </c>
      <c r="J7" s="2"/>
      <c r="K7" s="8" t="s">
        <v>514</v>
      </c>
    </row>
    <row r="8" spans="2:13" x14ac:dyDescent="0.4">
      <c r="B8" t="s">
        <v>12</v>
      </c>
      <c r="C8" s="1" t="s">
        <v>13</v>
      </c>
      <c r="D8" s="1" t="s">
        <v>14</v>
      </c>
      <c r="E8" s="8" t="s">
        <v>518</v>
      </c>
      <c r="F8" s="8" t="s">
        <v>524</v>
      </c>
      <c r="G8" s="1" t="s">
        <v>10</v>
      </c>
      <c r="H8" s="1" t="s">
        <v>15</v>
      </c>
      <c r="J8" s="2"/>
      <c r="K8" s="8" t="s">
        <v>514</v>
      </c>
    </row>
    <row r="9" spans="2:13" x14ac:dyDescent="0.4">
      <c r="B9" t="s">
        <v>16</v>
      </c>
      <c r="C9" s="1" t="s">
        <v>17</v>
      </c>
      <c r="D9" s="1" t="s">
        <v>18</v>
      </c>
      <c r="E9" s="8" t="s">
        <v>516</v>
      </c>
      <c r="F9" s="8" t="s">
        <v>524</v>
      </c>
      <c r="G9" s="1" t="s">
        <v>10</v>
      </c>
      <c r="H9" s="1" t="s">
        <v>15</v>
      </c>
      <c r="J9" s="2"/>
      <c r="K9" s="8" t="s">
        <v>514</v>
      </c>
    </row>
    <row r="10" spans="2:13" x14ac:dyDescent="0.4">
      <c r="B10" t="s">
        <v>19</v>
      </c>
      <c r="C10" s="1" t="s">
        <v>20</v>
      </c>
      <c r="D10" s="1" t="s">
        <v>21</v>
      </c>
      <c r="E10" s="8" t="s">
        <v>520</v>
      </c>
      <c r="F10" s="8" t="s">
        <v>524</v>
      </c>
      <c r="G10" s="1" t="s">
        <v>22</v>
      </c>
      <c r="H10" s="1" t="s">
        <v>23</v>
      </c>
      <c r="J10" s="2"/>
      <c r="K10" s="8" t="s">
        <v>514</v>
      </c>
    </row>
    <row r="11" spans="2:13" x14ac:dyDescent="0.4">
      <c r="B11" t="s">
        <v>24</v>
      </c>
      <c r="C11" s="1" t="s">
        <v>25</v>
      </c>
      <c r="D11" s="1" t="s">
        <v>8</v>
      </c>
      <c r="E11" s="8" t="s">
        <v>520</v>
      </c>
      <c r="F11" s="8" t="s">
        <v>524</v>
      </c>
      <c r="G11" s="1" t="s">
        <v>10</v>
      </c>
      <c r="H11" s="1" t="s">
        <v>26</v>
      </c>
      <c r="J11" s="2"/>
      <c r="K11" s="8" t="s">
        <v>514</v>
      </c>
    </row>
    <row r="12" spans="2:13" x14ac:dyDescent="0.4">
      <c r="B12" t="s">
        <v>27</v>
      </c>
      <c r="C12" s="1" t="s">
        <v>28</v>
      </c>
      <c r="D12" s="1" t="s">
        <v>8</v>
      </c>
      <c r="E12" s="8" t="s">
        <v>516</v>
      </c>
      <c r="F12" s="8" t="s">
        <v>524</v>
      </c>
      <c r="G12" s="1" t="s">
        <v>10</v>
      </c>
      <c r="H12" s="1" t="s">
        <v>29</v>
      </c>
      <c r="J12" s="2"/>
      <c r="K12" s="8" t="s">
        <v>514</v>
      </c>
    </row>
    <row r="13" spans="2:13" x14ac:dyDescent="0.4">
      <c r="B13" t="s">
        <v>30</v>
      </c>
      <c r="C13" s="1" t="s">
        <v>31</v>
      </c>
      <c r="D13" s="1" t="s">
        <v>8</v>
      </c>
      <c r="E13" s="8" t="s">
        <v>516</v>
      </c>
      <c r="F13" s="8" t="s">
        <v>524</v>
      </c>
      <c r="G13" s="1" t="s">
        <v>10</v>
      </c>
      <c r="H13" s="1" t="s">
        <v>15</v>
      </c>
      <c r="J13" s="2"/>
      <c r="K13" s="8" t="s">
        <v>514</v>
      </c>
    </row>
    <row r="14" spans="2:13" x14ac:dyDescent="0.4">
      <c r="B14" t="s">
        <v>32</v>
      </c>
      <c r="C14" s="1" t="s">
        <v>33</v>
      </c>
      <c r="D14" s="1" t="s">
        <v>8</v>
      </c>
      <c r="E14" s="8" t="s">
        <v>516</v>
      </c>
      <c r="F14" s="8" t="s">
        <v>524</v>
      </c>
      <c r="G14" s="1" t="s">
        <v>34</v>
      </c>
      <c r="H14" s="1"/>
      <c r="J14" s="2"/>
      <c r="K14" s="8" t="s">
        <v>514</v>
      </c>
    </row>
    <row r="15" spans="2:13" x14ac:dyDescent="0.4">
      <c r="B15" t="s">
        <v>35</v>
      </c>
      <c r="C15" s="1" t="s">
        <v>36</v>
      </c>
      <c r="D15" s="1" t="s">
        <v>8</v>
      </c>
      <c r="E15" s="8" t="s">
        <v>518</v>
      </c>
      <c r="F15" s="8" t="s">
        <v>524</v>
      </c>
      <c r="G15" s="1" t="s">
        <v>37</v>
      </c>
      <c r="H15" s="1" t="s">
        <v>499</v>
      </c>
      <c r="J15" s="2"/>
      <c r="K15" s="8" t="s">
        <v>514</v>
      </c>
    </row>
    <row r="16" spans="2:13" x14ac:dyDescent="0.4">
      <c r="B16" t="s">
        <v>38</v>
      </c>
      <c r="C16" s="1" t="s">
        <v>39</v>
      </c>
      <c r="D16" s="1" t="s">
        <v>40</v>
      </c>
      <c r="E16" s="8" t="s">
        <v>518</v>
      </c>
      <c r="F16" s="8" t="s">
        <v>524</v>
      </c>
      <c r="G16" s="1" t="s">
        <v>41</v>
      </c>
      <c r="H16" s="1" t="s">
        <v>42</v>
      </c>
      <c r="J16" s="2"/>
      <c r="K16" s="8" t="s">
        <v>514</v>
      </c>
    </row>
    <row r="17" spans="2:11" x14ac:dyDescent="0.4">
      <c r="B17" t="s">
        <v>43</v>
      </c>
      <c r="C17" s="1" t="s">
        <v>44</v>
      </c>
      <c r="D17" s="1" t="s">
        <v>45</v>
      </c>
      <c r="E17" s="8" t="s">
        <v>520</v>
      </c>
      <c r="F17" s="8" t="s">
        <v>524</v>
      </c>
      <c r="G17" s="1" t="s">
        <v>46</v>
      </c>
      <c r="H17" s="1" t="s">
        <v>47</v>
      </c>
      <c r="J17" s="2"/>
      <c r="K17" s="8" t="s">
        <v>522</v>
      </c>
    </row>
    <row r="18" spans="2:11" x14ac:dyDescent="0.4">
      <c r="C18" s="1"/>
      <c r="D18" s="1"/>
      <c r="E18" s="8"/>
      <c r="F18" s="8"/>
      <c r="G18" s="1"/>
      <c r="H18" s="1"/>
      <c r="J18" s="2"/>
      <c r="K18" s="4"/>
    </row>
    <row r="19" spans="2:11" x14ac:dyDescent="0.4">
      <c r="B19" t="s">
        <v>48</v>
      </c>
      <c r="C19" s="1"/>
      <c r="D19" s="1"/>
      <c r="E19" s="8"/>
      <c r="F19" s="8"/>
      <c r="G19" s="1"/>
      <c r="H19" s="1"/>
      <c r="J19" s="2"/>
      <c r="K19" s="4"/>
    </row>
    <row r="20" spans="2:11" x14ac:dyDescent="0.4">
      <c r="B20" t="s">
        <v>49</v>
      </c>
      <c r="C20" s="1" t="s">
        <v>50</v>
      </c>
      <c r="D20" s="1" t="s">
        <v>51</v>
      </c>
      <c r="E20" s="8" t="s">
        <v>9</v>
      </c>
      <c r="F20" s="8" t="s">
        <v>523</v>
      </c>
      <c r="G20" s="1" t="s">
        <v>52</v>
      </c>
      <c r="H20" s="1" t="s">
        <v>500</v>
      </c>
      <c r="J20" s="2"/>
      <c r="K20" s="4"/>
    </row>
    <row r="21" spans="2:11" x14ac:dyDescent="0.4">
      <c r="B21" t="s">
        <v>53</v>
      </c>
      <c r="C21" s="1" t="s">
        <v>54</v>
      </c>
      <c r="D21" s="1" t="s">
        <v>8</v>
      </c>
      <c r="E21" s="8" t="s">
        <v>9</v>
      </c>
      <c r="F21" s="8" t="s">
        <v>523</v>
      </c>
      <c r="G21" s="1" t="s">
        <v>55</v>
      </c>
      <c r="H21" s="1" t="s">
        <v>56</v>
      </c>
      <c r="J21" s="2"/>
      <c r="K21" s="4"/>
    </row>
    <row r="22" spans="2:11" x14ac:dyDescent="0.4">
      <c r="B22" t="s">
        <v>57</v>
      </c>
      <c r="C22" s="1" t="s">
        <v>58</v>
      </c>
      <c r="D22" s="1" t="s">
        <v>59</v>
      </c>
      <c r="E22" s="8" t="s">
        <v>9</v>
      </c>
      <c r="F22" s="8" t="s">
        <v>523</v>
      </c>
      <c r="G22" s="1" t="s">
        <v>60</v>
      </c>
      <c r="H22" s="1" t="s">
        <v>61</v>
      </c>
      <c r="J22" s="2"/>
      <c r="K22" s="4"/>
    </row>
    <row r="23" spans="2:11" x14ac:dyDescent="0.4">
      <c r="B23" t="s">
        <v>62</v>
      </c>
      <c r="C23" s="1" t="s">
        <v>63</v>
      </c>
      <c r="D23" s="1" t="s">
        <v>64</v>
      </c>
      <c r="E23" s="8" t="s">
        <v>9</v>
      </c>
      <c r="F23" s="8" t="s">
        <v>523</v>
      </c>
      <c r="G23" s="1" t="s">
        <v>65</v>
      </c>
      <c r="H23" s="1" t="s">
        <v>66</v>
      </c>
      <c r="J23" s="2"/>
      <c r="K23" s="4"/>
    </row>
    <row r="24" spans="2:11" x14ac:dyDescent="0.4">
      <c r="B24" t="s">
        <v>67</v>
      </c>
      <c r="C24" s="1" t="s">
        <v>68</v>
      </c>
      <c r="D24" s="1" t="s">
        <v>18</v>
      </c>
      <c r="E24" s="8" t="s">
        <v>9</v>
      </c>
      <c r="F24" s="8" t="s">
        <v>523</v>
      </c>
      <c r="G24" s="1" t="s">
        <v>69</v>
      </c>
      <c r="H24" s="1" t="s">
        <v>70</v>
      </c>
      <c r="J24" s="2"/>
      <c r="K24" s="4"/>
    </row>
    <row r="25" spans="2:11" x14ac:dyDescent="0.4">
      <c r="B25" t="s">
        <v>71</v>
      </c>
      <c r="C25" s="1" t="s">
        <v>72</v>
      </c>
      <c r="D25" s="1" t="s">
        <v>73</v>
      </c>
      <c r="E25" s="8" t="s">
        <v>9</v>
      </c>
      <c r="F25" s="8" t="s">
        <v>523</v>
      </c>
      <c r="G25" s="1" t="s">
        <v>74</v>
      </c>
      <c r="H25" s="1" t="s">
        <v>75</v>
      </c>
      <c r="J25" s="2"/>
      <c r="K25" s="4"/>
    </row>
    <row r="26" spans="2:11" x14ac:dyDescent="0.4">
      <c r="B26" t="s">
        <v>76</v>
      </c>
      <c r="C26" s="1" t="s">
        <v>77</v>
      </c>
      <c r="D26" s="1" t="s">
        <v>78</v>
      </c>
      <c r="E26" s="8" t="s">
        <v>79</v>
      </c>
      <c r="F26" s="8" t="s">
        <v>523</v>
      </c>
      <c r="G26" s="1" t="s">
        <v>80</v>
      </c>
      <c r="H26" s="1" t="s">
        <v>81</v>
      </c>
      <c r="J26" s="2"/>
      <c r="K26" s="4"/>
    </row>
    <row r="27" spans="2:11" x14ac:dyDescent="0.4">
      <c r="B27" t="s">
        <v>82</v>
      </c>
      <c r="C27" s="1" t="s">
        <v>83</v>
      </c>
      <c r="D27" s="1" t="s">
        <v>84</v>
      </c>
      <c r="E27" s="8" t="s">
        <v>9</v>
      </c>
      <c r="F27" s="8" t="s">
        <v>523</v>
      </c>
      <c r="G27" s="1" t="s">
        <v>85</v>
      </c>
      <c r="H27" s="1" t="s">
        <v>86</v>
      </c>
      <c r="J27" s="2"/>
      <c r="K27" s="4"/>
    </row>
    <row r="28" spans="2:11" x14ac:dyDescent="0.4">
      <c r="B28" t="s">
        <v>87</v>
      </c>
      <c r="C28" s="1" t="s">
        <v>88</v>
      </c>
      <c r="D28" s="1" t="s">
        <v>89</v>
      </c>
      <c r="E28" s="8" t="s">
        <v>90</v>
      </c>
      <c r="F28" s="8" t="s">
        <v>523</v>
      </c>
      <c r="G28" s="1" t="s">
        <v>91</v>
      </c>
      <c r="H28" s="1" t="s">
        <v>501</v>
      </c>
      <c r="J28" s="2"/>
      <c r="K28" s="4"/>
    </row>
    <row r="29" spans="2:11" x14ac:dyDescent="0.4">
      <c r="B29" t="s">
        <v>92</v>
      </c>
      <c r="C29" s="1" t="s">
        <v>93</v>
      </c>
      <c r="D29" s="1" t="s">
        <v>94</v>
      </c>
      <c r="E29" s="8" t="s">
        <v>95</v>
      </c>
      <c r="F29" s="8" t="s">
        <v>523</v>
      </c>
      <c r="G29" s="1" t="s">
        <v>96</v>
      </c>
      <c r="H29" s="1" t="s">
        <v>97</v>
      </c>
      <c r="J29" s="2"/>
      <c r="K29" s="4"/>
    </row>
    <row r="30" spans="2:11" x14ac:dyDescent="0.4">
      <c r="B30" t="s">
        <v>98</v>
      </c>
      <c r="C30" s="1" t="s">
        <v>99</v>
      </c>
      <c r="D30" s="1" t="s">
        <v>8</v>
      </c>
      <c r="E30" s="8" t="s">
        <v>9</v>
      </c>
      <c r="F30" s="8" t="s">
        <v>523</v>
      </c>
      <c r="G30" s="1" t="s">
        <v>100</v>
      </c>
      <c r="H30" s="1" t="s">
        <v>101</v>
      </c>
      <c r="J30" s="2"/>
      <c r="K30" s="4"/>
    </row>
    <row r="31" spans="2:11" x14ac:dyDescent="0.4">
      <c r="B31" t="s">
        <v>102</v>
      </c>
      <c r="C31" s="1" t="s">
        <v>103</v>
      </c>
      <c r="D31" s="1" t="s">
        <v>104</v>
      </c>
      <c r="E31" s="8" t="s">
        <v>105</v>
      </c>
      <c r="F31" s="8" t="s">
        <v>523</v>
      </c>
      <c r="G31" s="1" t="s">
        <v>106</v>
      </c>
      <c r="H31" s="1" t="s">
        <v>107</v>
      </c>
      <c r="J31" s="2"/>
      <c r="K31" s="4"/>
    </row>
    <row r="32" spans="2:11" x14ac:dyDescent="0.4">
      <c r="B32" t="s">
        <v>108</v>
      </c>
      <c r="C32" s="1" t="s">
        <v>109</v>
      </c>
      <c r="D32" s="1" t="s">
        <v>104</v>
      </c>
      <c r="E32" s="8" t="s">
        <v>105</v>
      </c>
      <c r="F32" s="8" t="s">
        <v>523</v>
      </c>
      <c r="G32" s="1" t="s">
        <v>110</v>
      </c>
      <c r="H32" s="1" t="s">
        <v>111</v>
      </c>
      <c r="J32" s="2"/>
      <c r="K32" s="4"/>
    </row>
    <row r="33" spans="2:11" x14ac:dyDescent="0.4">
      <c r="B33" t="s">
        <v>112</v>
      </c>
      <c r="C33" s="1" t="s">
        <v>113</v>
      </c>
      <c r="D33" s="1" t="s">
        <v>104</v>
      </c>
      <c r="E33" s="8" t="s">
        <v>105</v>
      </c>
      <c r="F33" s="8" t="s">
        <v>523</v>
      </c>
      <c r="G33" s="1" t="s">
        <v>114</v>
      </c>
      <c r="H33" s="1" t="s">
        <v>115</v>
      </c>
      <c r="J33" s="2"/>
      <c r="K33" s="4"/>
    </row>
    <row r="34" spans="2:11" x14ac:dyDescent="0.4">
      <c r="C34" s="1"/>
      <c r="D34" s="1"/>
      <c r="E34" s="8"/>
      <c r="F34" s="8"/>
      <c r="G34" s="1"/>
      <c r="H34" s="1"/>
      <c r="J34" s="2"/>
      <c r="K34" s="4"/>
    </row>
    <row r="35" spans="2:11" x14ac:dyDescent="0.4">
      <c r="B35" t="s">
        <v>116</v>
      </c>
      <c r="C35" s="1"/>
      <c r="D35" s="1"/>
      <c r="E35" s="8"/>
      <c r="F35" s="8"/>
      <c r="G35" s="1"/>
      <c r="H35" s="1"/>
      <c r="J35" s="2"/>
      <c r="K35" s="4"/>
    </row>
    <row r="36" spans="2:11" x14ac:dyDescent="0.4">
      <c r="B36" t="s">
        <v>117</v>
      </c>
      <c r="C36" s="1" t="s">
        <v>118</v>
      </c>
      <c r="D36" s="1" t="s">
        <v>59</v>
      </c>
      <c r="E36" s="8" t="s">
        <v>9</v>
      </c>
      <c r="F36" s="8" t="s">
        <v>523</v>
      </c>
      <c r="G36" s="1" t="s">
        <v>119</v>
      </c>
      <c r="H36" s="1" t="s">
        <v>120</v>
      </c>
      <c r="J36" s="2"/>
      <c r="K36" s="4"/>
    </row>
    <row r="37" spans="2:11" x14ac:dyDescent="0.4">
      <c r="B37" t="s">
        <v>121</v>
      </c>
      <c r="C37" s="1" t="s">
        <v>122</v>
      </c>
      <c r="D37" s="1" t="s">
        <v>123</v>
      </c>
      <c r="E37" s="8" t="s">
        <v>9</v>
      </c>
      <c r="F37" s="8" t="s">
        <v>523</v>
      </c>
      <c r="G37" s="1" t="s">
        <v>124</v>
      </c>
      <c r="H37" s="1" t="s">
        <v>125</v>
      </c>
      <c r="J37" s="2"/>
      <c r="K37" s="4"/>
    </row>
    <row r="38" spans="2:11" x14ac:dyDescent="0.4">
      <c r="B38" t="s">
        <v>126</v>
      </c>
      <c r="C38" s="1" t="s">
        <v>127</v>
      </c>
      <c r="D38" s="1" t="s">
        <v>94</v>
      </c>
      <c r="E38" s="8" t="s">
        <v>9</v>
      </c>
      <c r="F38" s="8" t="s">
        <v>523</v>
      </c>
      <c r="G38" s="1" t="s">
        <v>128</v>
      </c>
      <c r="H38" s="1" t="s">
        <v>129</v>
      </c>
      <c r="J38" s="2"/>
      <c r="K38" s="4"/>
    </row>
    <row r="39" spans="2:11" x14ac:dyDescent="0.4">
      <c r="B39" t="s">
        <v>130</v>
      </c>
      <c r="C39" s="1" t="s">
        <v>131</v>
      </c>
      <c r="D39" s="1" t="s">
        <v>132</v>
      </c>
      <c r="E39" s="8" t="s">
        <v>9</v>
      </c>
      <c r="F39" s="8" t="s">
        <v>523</v>
      </c>
      <c r="G39" s="1" t="s">
        <v>133</v>
      </c>
      <c r="H39" s="1" t="s">
        <v>134</v>
      </c>
      <c r="J39" s="2"/>
      <c r="K39" s="4"/>
    </row>
    <row r="40" spans="2:11" x14ac:dyDescent="0.4">
      <c r="B40" t="s">
        <v>135</v>
      </c>
      <c r="C40" s="1" t="s">
        <v>136</v>
      </c>
      <c r="D40" s="1" t="s">
        <v>8</v>
      </c>
      <c r="E40" s="8" t="s">
        <v>9</v>
      </c>
      <c r="F40" s="8" t="s">
        <v>523</v>
      </c>
      <c r="G40" s="1" t="s">
        <v>137</v>
      </c>
      <c r="H40" s="1" t="s">
        <v>138</v>
      </c>
      <c r="J40" s="2"/>
      <c r="K40" s="4"/>
    </row>
    <row r="41" spans="2:11" x14ac:dyDescent="0.4">
      <c r="B41" t="s">
        <v>139</v>
      </c>
      <c r="C41" s="1" t="s">
        <v>140</v>
      </c>
      <c r="D41" s="1" t="s">
        <v>141</v>
      </c>
      <c r="E41" s="8" t="s">
        <v>9</v>
      </c>
      <c r="F41" s="8" t="s">
        <v>523</v>
      </c>
      <c r="G41" s="1" t="s">
        <v>137</v>
      </c>
      <c r="H41" s="1" t="s">
        <v>15</v>
      </c>
      <c r="J41" s="2"/>
      <c r="K41" s="4"/>
    </row>
    <row r="42" spans="2:11" x14ac:dyDescent="0.4">
      <c r="B42" t="s">
        <v>142</v>
      </c>
      <c r="C42" s="1" t="s">
        <v>143</v>
      </c>
      <c r="D42" s="1" t="s">
        <v>59</v>
      </c>
      <c r="E42" s="8" t="s">
        <v>9</v>
      </c>
      <c r="F42" s="8" t="s">
        <v>523</v>
      </c>
      <c r="G42" s="1" t="s">
        <v>144</v>
      </c>
      <c r="H42" s="1" t="s">
        <v>145</v>
      </c>
      <c r="J42" s="2"/>
      <c r="K42" s="4"/>
    </row>
    <row r="43" spans="2:11" x14ac:dyDescent="0.4">
      <c r="B43" t="s">
        <v>146</v>
      </c>
      <c r="C43" s="1" t="s">
        <v>147</v>
      </c>
      <c r="D43" s="1" t="s">
        <v>8</v>
      </c>
      <c r="E43" s="8" t="s">
        <v>9</v>
      </c>
      <c r="F43" s="8" t="s">
        <v>523</v>
      </c>
      <c r="G43" s="1" t="s">
        <v>148</v>
      </c>
      <c r="H43" s="1" t="s">
        <v>149</v>
      </c>
      <c r="J43" s="2"/>
      <c r="K43" s="4"/>
    </row>
    <row r="44" spans="2:11" x14ac:dyDescent="0.4">
      <c r="B44" t="s">
        <v>150</v>
      </c>
      <c r="C44" s="1" t="s">
        <v>151</v>
      </c>
      <c r="D44" s="1" t="s">
        <v>152</v>
      </c>
      <c r="E44" s="8" t="s">
        <v>153</v>
      </c>
      <c r="F44" s="8" t="s">
        <v>524</v>
      </c>
      <c r="G44" s="1" t="s">
        <v>154</v>
      </c>
      <c r="H44" s="1" t="s">
        <v>155</v>
      </c>
      <c r="J44" s="2"/>
      <c r="K44" s="4"/>
    </row>
    <row r="45" spans="2:11" x14ac:dyDescent="0.4">
      <c r="B45" t="s">
        <v>156</v>
      </c>
      <c r="C45" s="1" t="s">
        <v>157</v>
      </c>
      <c r="D45" s="1" t="s">
        <v>158</v>
      </c>
      <c r="E45" s="8" t="s">
        <v>159</v>
      </c>
      <c r="F45" s="8" t="s">
        <v>524</v>
      </c>
      <c r="G45" s="1" t="s">
        <v>160</v>
      </c>
      <c r="H45" s="1" t="s">
        <v>161</v>
      </c>
      <c r="J45" s="2"/>
      <c r="K45" s="4"/>
    </row>
    <row r="46" spans="2:11" x14ac:dyDescent="0.4">
      <c r="C46" s="1"/>
      <c r="D46" s="1"/>
      <c r="E46" s="8"/>
      <c r="F46" s="8"/>
      <c r="G46" s="1"/>
      <c r="H46" s="1"/>
      <c r="J46" s="2"/>
      <c r="K46" s="4"/>
    </row>
    <row r="47" spans="2:11" x14ac:dyDescent="0.4">
      <c r="B47" t="s">
        <v>162</v>
      </c>
      <c r="C47" s="1"/>
      <c r="D47" s="1"/>
      <c r="E47" s="8"/>
      <c r="F47" s="8"/>
      <c r="G47" s="1"/>
      <c r="H47" s="1"/>
      <c r="J47" s="2"/>
      <c r="K47" s="4"/>
    </row>
    <row r="48" spans="2:11" x14ac:dyDescent="0.4">
      <c r="B48" t="s">
        <v>163</v>
      </c>
      <c r="C48" s="1"/>
      <c r="D48" s="1"/>
      <c r="E48" s="8"/>
      <c r="F48" s="8"/>
      <c r="G48" s="1"/>
      <c r="H48" s="1"/>
      <c r="J48" s="2"/>
      <c r="K48" s="4"/>
    </row>
    <row r="49" spans="2:11" x14ac:dyDescent="0.4">
      <c r="B49" t="s">
        <v>164</v>
      </c>
      <c r="C49" s="1" t="s">
        <v>165</v>
      </c>
      <c r="D49" s="1" t="s">
        <v>8</v>
      </c>
      <c r="E49" s="8" t="s">
        <v>9</v>
      </c>
      <c r="F49" s="8" t="s">
        <v>523</v>
      </c>
      <c r="G49" s="1" t="s">
        <v>166</v>
      </c>
      <c r="H49" s="1" t="s">
        <v>502</v>
      </c>
      <c r="J49" s="2"/>
      <c r="K49" s="4"/>
    </row>
    <row r="50" spans="2:11" x14ac:dyDescent="0.4">
      <c r="B50" t="s">
        <v>167</v>
      </c>
      <c r="C50" s="1" t="s">
        <v>168</v>
      </c>
      <c r="D50" s="1" t="s">
        <v>8</v>
      </c>
      <c r="E50" s="8" t="s">
        <v>9</v>
      </c>
      <c r="F50" s="8" t="s">
        <v>523</v>
      </c>
      <c r="G50" s="1" t="s">
        <v>169</v>
      </c>
      <c r="H50" s="1" t="s">
        <v>170</v>
      </c>
      <c r="J50" s="2"/>
      <c r="K50" s="4"/>
    </row>
    <row r="51" spans="2:11" x14ac:dyDescent="0.4">
      <c r="B51" t="s">
        <v>171</v>
      </c>
      <c r="C51" s="1" t="s">
        <v>172</v>
      </c>
      <c r="D51" s="1" t="s">
        <v>8</v>
      </c>
      <c r="E51" s="8" t="s">
        <v>9</v>
      </c>
      <c r="F51" s="8" t="s">
        <v>523</v>
      </c>
      <c r="G51" s="1" t="s">
        <v>173</v>
      </c>
      <c r="H51" s="1" t="s">
        <v>174</v>
      </c>
      <c r="J51" s="2"/>
      <c r="K51" s="4"/>
    </row>
    <row r="52" spans="2:11" x14ac:dyDescent="0.4">
      <c r="B52" t="s">
        <v>175</v>
      </c>
      <c r="C52" s="1" t="s">
        <v>176</v>
      </c>
      <c r="D52" s="1" t="s">
        <v>177</v>
      </c>
      <c r="E52" s="8" t="s">
        <v>9</v>
      </c>
      <c r="F52" s="8" t="s">
        <v>523</v>
      </c>
      <c r="G52" s="1" t="s">
        <v>178</v>
      </c>
      <c r="H52" s="1" t="s">
        <v>15</v>
      </c>
      <c r="J52" s="2"/>
      <c r="K52" s="4"/>
    </row>
    <row r="53" spans="2:11" x14ac:dyDescent="0.4">
      <c r="B53" t="s">
        <v>179</v>
      </c>
      <c r="C53" s="1" t="s">
        <v>180</v>
      </c>
      <c r="D53" s="1" t="s">
        <v>8</v>
      </c>
      <c r="E53" s="8" t="s">
        <v>9</v>
      </c>
      <c r="F53" s="8" t="s">
        <v>523</v>
      </c>
      <c r="G53" s="1" t="s">
        <v>181</v>
      </c>
      <c r="H53" s="1" t="s">
        <v>15</v>
      </c>
      <c r="J53" s="2"/>
      <c r="K53" s="4"/>
    </row>
    <row r="54" spans="2:11" x14ac:dyDescent="0.4">
      <c r="B54" t="s">
        <v>182</v>
      </c>
      <c r="C54" s="1" t="s">
        <v>183</v>
      </c>
      <c r="D54" s="1" t="s">
        <v>14</v>
      </c>
      <c r="E54" s="8" t="s">
        <v>9</v>
      </c>
      <c r="F54" s="8" t="s">
        <v>523</v>
      </c>
      <c r="G54" s="1" t="s">
        <v>184</v>
      </c>
      <c r="H54" s="1" t="s">
        <v>185</v>
      </c>
      <c r="J54" s="2"/>
      <c r="K54" s="4"/>
    </row>
    <row r="55" spans="2:11" x14ac:dyDescent="0.4">
      <c r="B55" t="s">
        <v>186</v>
      </c>
      <c r="C55" s="1" t="s">
        <v>187</v>
      </c>
      <c r="D55" s="1" t="s">
        <v>188</v>
      </c>
      <c r="E55" s="8" t="s">
        <v>9</v>
      </c>
      <c r="F55" s="8" t="s">
        <v>523</v>
      </c>
      <c r="G55" s="1" t="s">
        <v>189</v>
      </c>
      <c r="H55" s="1" t="s">
        <v>503</v>
      </c>
      <c r="J55" s="2"/>
      <c r="K55" s="4"/>
    </row>
    <row r="56" spans="2:11" x14ac:dyDescent="0.4">
      <c r="B56" t="s">
        <v>190</v>
      </c>
      <c r="C56" s="1" t="s">
        <v>191</v>
      </c>
      <c r="D56" s="1" t="s">
        <v>8</v>
      </c>
      <c r="E56" s="8" t="s">
        <v>9</v>
      </c>
      <c r="F56" s="8" t="s">
        <v>523</v>
      </c>
      <c r="G56" s="1" t="s">
        <v>192</v>
      </c>
      <c r="H56" s="1" t="s">
        <v>193</v>
      </c>
      <c r="J56" s="2"/>
      <c r="K56" s="4"/>
    </row>
    <row r="57" spans="2:11" x14ac:dyDescent="0.4">
      <c r="B57" t="s">
        <v>194</v>
      </c>
      <c r="C57" s="1" t="s">
        <v>195</v>
      </c>
      <c r="D57" s="1" t="s">
        <v>8</v>
      </c>
      <c r="E57" s="8" t="s">
        <v>9</v>
      </c>
      <c r="F57" s="8" t="s">
        <v>523</v>
      </c>
      <c r="G57" s="1" t="s">
        <v>196</v>
      </c>
      <c r="H57" s="1" t="s">
        <v>197</v>
      </c>
      <c r="J57" s="2"/>
      <c r="K57" s="4"/>
    </row>
    <row r="58" spans="2:11" x14ac:dyDescent="0.4">
      <c r="B58" t="s">
        <v>198</v>
      </c>
      <c r="C58" s="1"/>
      <c r="D58" s="1"/>
      <c r="E58" s="8"/>
      <c r="F58" s="8"/>
      <c r="G58" s="1"/>
      <c r="H58" s="1"/>
      <c r="J58" s="2"/>
      <c r="K58" s="4"/>
    </row>
    <row r="59" spans="2:11" x14ac:dyDescent="0.4">
      <c r="B59" t="s">
        <v>199</v>
      </c>
      <c r="C59" s="1" t="s">
        <v>200</v>
      </c>
      <c r="D59" s="1" t="s">
        <v>201</v>
      </c>
      <c r="E59" s="8" t="s">
        <v>9</v>
      </c>
      <c r="F59" s="8" t="s">
        <v>523</v>
      </c>
      <c r="G59" s="1" t="s">
        <v>202</v>
      </c>
      <c r="H59" s="1" t="s">
        <v>203</v>
      </c>
      <c r="J59" s="2"/>
      <c r="K59" s="4"/>
    </row>
    <row r="60" spans="2:11" x14ac:dyDescent="0.4">
      <c r="B60" t="s">
        <v>204</v>
      </c>
      <c r="C60" s="1" t="s">
        <v>205</v>
      </c>
      <c r="D60" s="1" t="s">
        <v>64</v>
      </c>
      <c r="E60" s="8" t="s">
        <v>9</v>
      </c>
      <c r="F60" s="8" t="s">
        <v>523</v>
      </c>
      <c r="G60" s="1" t="s">
        <v>206</v>
      </c>
      <c r="H60" s="1" t="s">
        <v>15</v>
      </c>
      <c r="J60" s="2"/>
      <c r="K60" s="4"/>
    </row>
    <row r="61" spans="2:11" x14ac:dyDescent="0.4">
      <c r="B61" t="s">
        <v>207</v>
      </c>
      <c r="C61" s="1" t="s">
        <v>208</v>
      </c>
      <c r="D61" s="1" t="s">
        <v>209</v>
      </c>
      <c r="E61" s="8" t="s">
        <v>9</v>
      </c>
      <c r="F61" s="8" t="s">
        <v>523</v>
      </c>
      <c r="G61" s="1" t="s">
        <v>206</v>
      </c>
      <c r="H61" s="1" t="s">
        <v>15</v>
      </c>
      <c r="J61" s="2"/>
      <c r="K61" s="4"/>
    </row>
    <row r="62" spans="2:11" x14ac:dyDescent="0.4">
      <c r="B62" t="s">
        <v>210</v>
      </c>
      <c r="C62" s="1" t="s">
        <v>211</v>
      </c>
      <c r="D62" s="1" t="s">
        <v>59</v>
      </c>
      <c r="E62" s="8" t="s">
        <v>79</v>
      </c>
      <c r="F62" s="8" t="s">
        <v>523</v>
      </c>
      <c r="G62" s="1" t="s">
        <v>206</v>
      </c>
      <c r="H62" s="1" t="s">
        <v>212</v>
      </c>
      <c r="J62" s="2"/>
      <c r="K62" s="4"/>
    </row>
    <row r="63" spans="2:11" x14ac:dyDescent="0.4">
      <c r="B63" t="s">
        <v>213</v>
      </c>
      <c r="C63" s="1" t="s">
        <v>214</v>
      </c>
      <c r="D63" s="1" t="s">
        <v>8</v>
      </c>
      <c r="E63" s="8" t="s">
        <v>9</v>
      </c>
      <c r="F63" s="8" t="s">
        <v>523</v>
      </c>
      <c r="G63" s="1" t="s">
        <v>206</v>
      </c>
      <c r="H63" s="1" t="s">
        <v>215</v>
      </c>
      <c r="J63" s="2"/>
      <c r="K63" s="4"/>
    </row>
    <row r="64" spans="2:11" x14ac:dyDescent="0.4">
      <c r="B64" t="s">
        <v>216</v>
      </c>
      <c r="C64" s="1"/>
      <c r="D64" s="1"/>
      <c r="E64" s="8"/>
      <c r="F64" s="8"/>
      <c r="G64" s="1"/>
      <c r="H64" s="1"/>
      <c r="J64" s="2"/>
      <c r="K64" s="4"/>
    </row>
    <row r="65" spans="2:11" x14ac:dyDescent="0.4">
      <c r="B65" t="s">
        <v>217</v>
      </c>
      <c r="C65" s="1" t="s">
        <v>218</v>
      </c>
      <c r="D65" s="1" t="s">
        <v>8</v>
      </c>
      <c r="E65" s="8" t="s">
        <v>9</v>
      </c>
      <c r="F65" s="8" t="s">
        <v>523</v>
      </c>
      <c r="G65" s="1" t="s">
        <v>219</v>
      </c>
      <c r="H65" s="1" t="s">
        <v>220</v>
      </c>
      <c r="J65" s="2"/>
      <c r="K65" s="4"/>
    </row>
    <row r="66" spans="2:11" x14ac:dyDescent="0.4">
      <c r="B66" t="s">
        <v>221</v>
      </c>
      <c r="C66" s="1" t="s">
        <v>222</v>
      </c>
      <c r="D66" s="1" t="s">
        <v>223</v>
      </c>
      <c r="E66" s="8" t="s">
        <v>9</v>
      </c>
      <c r="F66" s="8" t="s">
        <v>523</v>
      </c>
      <c r="G66" s="1" t="s">
        <v>224</v>
      </c>
      <c r="H66" s="1" t="s">
        <v>225</v>
      </c>
      <c r="J66" s="2"/>
      <c r="K66" s="4"/>
    </row>
    <row r="67" spans="2:11" x14ac:dyDescent="0.4">
      <c r="B67" t="s">
        <v>226</v>
      </c>
      <c r="C67" s="1" t="s">
        <v>227</v>
      </c>
      <c r="D67" s="1" t="s">
        <v>8</v>
      </c>
      <c r="E67" s="8" t="s">
        <v>9</v>
      </c>
      <c r="F67" s="8" t="s">
        <v>523</v>
      </c>
      <c r="G67" s="1" t="s">
        <v>228</v>
      </c>
      <c r="H67" s="1" t="s">
        <v>15</v>
      </c>
      <c r="J67" s="2"/>
      <c r="K67" s="4"/>
    </row>
    <row r="68" spans="2:11" x14ac:dyDescent="0.4">
      <c r="B68" t="s">
        <v>229</v>
      </c>
      <c r="C68" s="1" t="s">
        <v>230</v>
      </c>
      <c r="D68" s="1" t="s">
        <v>231</v>
      </c>
      <c r="E68" s="8" t="s">
        <v>9</v>
      </c>
      <c r="F68" s="8" t="s">
        <v>523</v>
      </c>
      <c r="G68" s="1" t="s">
        <v>232</v>
      </c>
      <c r="H68" s="1" t="s">
        <v>233</v>
      </c>
      <c r="J68" s="2"/>
      <c r="K68" s="4"/>
    </row>
    <row r="69" spans="2:11" x14ac:dyDescent="0.4">
      <c r="B69" t="s">
        <v>234</v>
      </c>
      <c r="C69" s="1"/>
      <c r="D69" s="1"/>
      <c r="E69" s="8"/>
      <c r="F69" s="8"/>
      <c r="G69" s="1"/>
      <c r="H69" s="1"/>
      <c r="J69" s="2"/>
      <c r="K69" s="4"/>
    </row>
    <row r="70" spans="2:11" x14ac:dyDescent="0.4">
      <c r="B70" t="s">
        <v>235</v>
      </c>
      <c r="C70" s="1" t="s">
        <v>236</v>
      </c>
      <c r="D70" s="1" t="s">
        <v>237</v>
      </c>
      <c r="E70" s="8" t="s">
        <v>9</v>
      </c>
      <c r="F70" s="8" t="s">
        <v>523</v>
      </c>
      <c r="G70" s="1" t="s">
        <v>238</v>
      </c>
      <c r="H70" s="1"/>
      <c r="J70" s="2"/>
      <c r="K70" s="4"/>
    </row>
    <row r="71" spans="2:11" x14ac:dyDescent="0.4">
      <c r="C71" s="1"/>
      <c r="D71" s="1"/>
      <c r="E71" s="8"/>
      <c r="F71" s="8"/>
      <c r="G71" s="1"/>
      <c r="H71" s="1"/>
      <c r="J71" s="2"/>
      <c r="K71" s="4"/>
    </row>
    <row r="72" spans="2:11" x14ac:dyDescent="0.4">
      <c r="B72" t="s">
        <v>239</v>
      </c>
      <c r="C72" s="1"/>
      <c r="D72" s="1"/>
      <c r="E72" s="8"/>
      <c r="F72" s="8"/>
      <c r="G72" s="1"/>
      <c r="H72" s="1"/>
      <c r="J72" s="2"/>
      <c r="K72" s="4"/>
    </row>
    <row r="73" spans="2:11" x14ac:dyDescent="0.4">
      <c r="B73" t="s">
        <v>240</v>
      </c>
      <c r="C73" s="1"/>
      <c r="D73" s="1"/>
      <c r="E73" s="8"/>
      <c r="F73" s="8"/>
      <c r="G73" s="1"/>
      <c r="H73" s="1"/>
      <c r="J73" s="2"/>
      <c r="K73" s="4"/>
    </row>
    <row r="74" spans="2:11" x14ac:dyDescent="0.4">
      <c r="B74" t="s">
        <v>241</v>
      </c>
      <c r="C74" s="1" t="s">
        <v>242</v>
      </c>
      <c r="D74" s="1" t="s">
        <v>243</v>
      </c>
      <c r="E74" s="8" t="s">
        <v>9</v>
      </c>
      <c r="F74" s="8"/>
      <c r="G74" s="1" t="s">
        <v>244</v>
      </c>
      <c r="H74" s="1" t="s">
        <v>245</v>
      </c>
      <c r="J74" s="2"/>
      <c r="K74" s="4"/>
    </row>
    <row r="75" spans="2:11" x14ac:dyDescent="0.4">
      <c r="B75" t="s">
        <v>246</v>
      </c>
      <c r="C75" s="1" t="s">
        <v>247</v>
      </c>
      <c r="D75" s="1" t="s">
        <v>248</v>
      </c>
      <c r="E75" s="8" t="s">
        <v>9</v>
      </c>
      <c r="F75" s="8"/>
      <c r="G75" s="1" t="s">
        <v>249</v>
      </c>
      <c r="H75" s="1" t="s">
        <v>504</v>
      </c>
      <c r="J75" s="2"/>
      <c r="K75" s="4"/>
    </row>
    <row r="76" spans="2:11" x14ac:dyDescent="0.4">
      <c r="B76" t="s">
        <v>250</v>
      </c>
      <c r="C76" s="1" t="s">
        <v>251</v>
      </c>
      <c r="D76" s="1" t="s">
        <v>248</v>
      </c>
      <c r="E76" s="8" t="s">
        <v>9</v>
      </c>
      <c r="F76" s="8"/>
      <c r="G76" s="1" t="s">
        <v>252</v>
      </c>
      <c r="H76" s="1" t="s">
        <v>15</v>
      </c>
      <c r="J76" s="2"/>
      <c r="K76" s="4"/>
    </row>
    <row r="77" spans="2:11" x14ac:dyDescent="0.4">
      <c r="B77" t="s">
        <v>253</v>
      </c>
      <c r="C77" s="1" t="s">
        <v>254</v>
      </c>
      <c r="D77" s="1" t="s">
        <v>248</v>
      </c>
      <c r="E77" s="8" t="s">
        <v>255</v>
      </c>
      <c r="F77" s="8"/>
      <c r="G77" s="1" t="s">
        <v>252</v>
      </c>
      <c r="H77" s="1" t="s">
        <v>256</v>
      </c>
      <c r="J77" s="2"/>
      <c r="K77" s="4"/>
    </row>
    <row r="78" spans="2:11" x14ac:dyDescent="0.4">
      <c r="B78" t="s">
        <v>257</v>
      </c>
      <c r="C78" s="1" t="s">
        <v>258</v>
      </c>
      <c r="D78" s="1" t="s">
        <v>248</v>
      </c>
      <c r="E78" s="8" t="s">
        <v>9</v>
      </c>
      <c r="F78" s="8"/>
      <c r="G78" s="1" t="s">
        <v>252</v>
      </c>
      <c r="H78" s="1" t="s">
        <v>259</v>
      </c>
      <c r="J78" s="2"/>
      <c r="K78" s="4"/>
    </row>
    <row r="79" spans="2:11" x14ac:dyDescent="0.4">
      <c r="B79" t="s">
        <v>260</v>
      </c>
      <c r="C79" s="1" t="s">
        <v>261</v>
      </c>
      <c r="D79" s="1" t="s">
        <v>248</v>
      </c>
      <c r="E79" s="8" t="s">
        <v>9</v>
      </c>
      <c r="F79" s="8"/>
      <c r="G79" s="1" t="s">
        <v>252</v>
      </c>
      <c r="H79" s="1" t="s">
        <v>15</v>
      </c>
      <c r="J79" s="2"/>
      <c r="K79" s="4"/>
    </row>
    <row r="80" spans="2:11" x14ac:dyDescent="0.4">
      <c r="B80" t="s">
        <v>262</v>
      </c>
      <c r="C80" s="1" t="s">
        <v>263</v>
      </c>
      <c r="D80" s="1" t="s">
        <v>248</v>
      </c>
      <c r="E80" s="8" t="s">
        <v>9</v>
      </c>
      <c r="F80" s="8"/>
      <c r="G80" s="1" t="s">
        <v>252</v>
      </c>
      <c r="H80" s="1" t="s">
        <v>264</v>
      </c>
      <c r="J80" s="2"/>
      <c r="K80" s="4"/>
    </row>
    <row r="81" spans="2:11" x14ac:dyDescent="0.4">
      <c r="B81" t="s">
        <v>265</v>
      </c>
      <c r="C81" s="1" t="s">
        <v>266</v>
      </c>
      <c r="D81" s="1" t="s">
        <v>248</v>
      </c>
      <c r="E81" s="8" t="s">
        <v>9</v>
      </c>
      <c r="F81" s="8"/>
      <c r="G81" s="1" t="s">
        <v>252</v>
      </c>
      <c r="H81" s="1" t="s">
        <v>267</v>
      </c>
      <c r="J81" s="2"/>
      <c r="K81" s="4"/>
    </row>
    <row r="82" spans="2:11" x14ac:dyDescent="0.4">
      <c r="B82" t="s">
        <v>268</v>
      </c>
      <c r="C82" s="1" t="s">
        <v>269</v>
      </c>
      <c r="D82" s="1" t="s">
        <v>270</v>
      </c>
      <c r="E82" s="8" t="s">
        <v>9</v>
      </c>
      <c r="F82" s="8"/>
      <c r="G82" s="1" t="s">
        <v>271</v>
      </c>
      <c r="H82" s="1" t="s">
        <v>272</v>
      </c>
      <c r="J82" s="2"/>
      <c r="K82" s="4"/>
    </row>
    <row r="83" spans="2:11" x14ac:dyDescent="0.4">
      <c r="B83" t="s">
        <v>273</v>
      </c>
      <c r="C83" s="1" t="s">
        <v>274</v>
      </c>
      <c r="D83" s="1" t="s">
        <v>248</v>
      </c>
      <c r="E83" s="8" t="s">
        <v>9</v>
      </c>
      <c r="F83" s="8"/>
      <c r="G83" s="1" t="s">
        <v>252</v>
      </c>
      <c r="H83" s="1" t="s">
        <v>275</v>
      </c>
      <c r="J83" s="2"/>
      <c r="K83" s="4"/>
    </row>
    <row r="84" spans="2:11" x14ac:dyDescent="0.4">
      <c r="B84" t="s">
        <v>276</v>
      </c>
      <c r="C84" s="1" t="s">
        <v>277</v>
      </c>
      <c r="D84" s="1" t="s">
        <v>248</v>
      </c>
      <c r="E84" s="8" t="s">
        <v>9</v>
      </c>
      <c r="F84" s="8"/>
      <c r="G84" s="1" t="s">
        <v>278</v>
      </c>
      <c r="H84" s="1" t="s">
        <v>505</v>
      </c>
      <c r="J84" s="2"/>
      <c r="K84" s="4"/>
    </row>
    <row r="85" spans="2:11" x14ac:dyDescent="0.4">
      <c r="B85" t="s">
        <v>279</v>
      </c>
      <c r="C85" s="1" t="s">
        <v>280</v>
      </c>
      <c r="D85" s="1" t="s">
        <v>248</v>
      </c>
      <c r="E85" s="8" t="s">
        <v>9</v>
      </c>
      <c r="F85" s="8"/>
      <c r="G85" s="1" t="s">
        <v>278</v>
      </c>
      <c r="H85" s="1" t="s">
        <v>281</v>
      </c>
      <c r="J85" s="2"/>
      <c r="K85" s="4"/>
    </row>
    <row r="86" spans="2:11" x14ac:dyDescent="0.4">
      <c r="B86" t="s">
        <v>282</v>
      </c>
      <c r="C86" s="1" t="s">
        <v>283</v>
      </c>
      <c r="D86" s="1" t="s">
        <v>248</v>
      </c>
      <c r="E86" s="8" t="s">
        <v>9</v>
      </c>
      <c r="F86" s="8"/>
      <c r="G86" s="1" t="s">
        <v>278</v>
      </c>
      <c r="H86" s="1" t="s">
        <v>284</v>
      </c>
      <c r="J86" s="2"/>
      <c r="K86" s="4"/>
    </row>
    <row r="87" spans="2:11" x14ac:dyDescent="0.4">
      <c r="B87" t="s">
        <v>285</v>
      </c>
      <c r="C87" s="1" t="s">
        <v>286</v>
      </c>
      <c r="D87" s="1" t="s">
        <v>248</v>
      </c>
      <c r="E87" s="8" t="s">
        <v>9</v>
      </c>
      <c r="F87" s="8"/>
      <c r="G87" s="1" t="s">
        <v>278</v>
      </c>
      <c r="H87" s="1" t="s">
        <v>287</v>
      </c>
      <c r="J87" s="2"/>
      <c r="K87" s="4"/>
    </row>
    <row r="88" spans="2:11" x14ac:dyDescent="0.4">
      <c r="B88" t="s">
        <v>288</v>
      </c>
      <c r="C88" s="1" t="s">
        <v>289</v>
      </c>
      <c r="D88" s="1" t="s">
        <v>248</v>
      </c>
      <c r="E88" s="8" t="s">
        <v>290</v>
      </c>
      <c r="F88" s="8"/>
      <c r="G88" s="1" t="s">
        <v>278</v>
      </c>
      <c r="H88" s="1" t="s">
        <v>15</v>
      </c>
      <c r="J88" s="2"/>
      <c r="K88" s="4"/>
    </row>
    <row r="89" spans="2:11" x14ac:dyDescent="0.4">
      <c r="B89" t="s">
        <v>291</v>
      </c>
      <c r="C89" s="1" t="s">
        <v>292</v>
      </c>
      <c r="D89" s="1" t="s">
        <v>248</v>
      </c>
      <c r="E89" s="8" t="s">
        <v>9</v>
      </c>
      <c r="F89" s="8"/>
      <c r="G89" s="1" t="s">
        <v>293</v>
      </c>
      <c r="H89" s="1" t="s">
        <v>294</v>
      </c>
      <c r="J89" s="2"/>
      <c r="K89" s="4"/>
    </row>
    <row r="90" spans="2:11" x14ac:dyDescent="0.4">
      <c r="B90" t="s">
        <v>295</v>
      </c>
      <c r="C90" s="1" t="s">
        <v>296</v>
      </c>
      <c r="D90" s="1" t="s">
        <v>248</v>
      </c>
      <c r="E90" s="8" t="s">
        <v>9</v>
      </c>
      <c r="F90" s="8"/>
      <c r="G90" s="1" t="s">
        <v>297</v>
      </c>
      <c r="H90" s="1" t="s">
        <v>298</v>
      </c>
      <c r="J90" s="2"/>
      <c r="K90" s="4"/>
    </row>
    <row r="91" spans="2:11" x14ac:dyDescent="0.4">
      <c r="B91" t="s">
        <v>299</v>
      </c>
      <c r="C91" s="1"/>
      <c r="D91" s="1"/>
      <c r="E91" s="8"/>
      <c r="F91" s="8"/>
      <c r="G91" s="1"/>
      <c r="H91" s="1"/>
      <c r="J91" s="2"/>
      <c r="K91" s="4"/>
    </row>
    <row r="92" spans="2:11" x14ac:dyDescent="0.4">
      <c r="B92" t="s">
        <v>300</v>
      </c>
      <c r="C92" s="1" t="s">
        <v>301</v>
      </c>
      <c r="D92" s="1" t="s">
        <v>302</v>
      </c>
      <c r="E92" s="8" t="s">
        <v>303</v>
      </c>
      <c r="F92" s="8"/>
      <c r="G92" s="1" t="s">
        <v>304</v>
      </c>
      <c r="H92" s="1"/>
      <c r="J92" s="2"/>
      <c r="K92" s="4"/>
    </row>
    <row r="93" spans="2:11" x14ac:dyDescent="0.4">
      <c r="B93" t="s">
        <v>305</v>
      </c>
      <c r="C93" s="1" t="s">
        <v>306</v>
      </c>
      <c r="D93" s="1" t="s">
        <v>307</v>
      </c>
      <c r="E93" s="8" t="s">
        <v>308</v>
      </c>
      <c r="F93" s="8"/>
      <c r="G93" s="1" t="s">
        <v>15</v>
      </c>
      <c r="H93" s="1"/>
      <c r="J93" s="2"/>
      <c r="K93" s="4"/>
    </row>
    <row r="94" spans="2:11" x14ac:dyDescent="0.4">
      <c r="B94" t="s">
        <v>309</v>
      </c>
      <c r="C94" s="1" t="s">
        <v>310</v>
      </c>
      <c r="D94" s="1" t="s">
        <v>311</v>
      </c>
      <c r="E94" s="8" t="s">
        <v>312</v>
      </c>
      <c r="F94" s="8"/>
      <c r="G94" s="1" t="s">
        <v>313</v>
      </c>
      <c r="H94" s="1"/>
      <c r="J94" s="2"/>
      <c r="K94" s="4"/>
    </row>
    <row r="95" spans="2:11" x14ac:dyDescent="0.4">
      <c r="B95" t="s">
        <v>314</v>
      </c>
      <c r="C95" s="1" t="s">
        <v>315</v>
      </c>
      <c r="D95" s="1" t="s">
        <v>316</v>
      </c>
      <c r="E95" s="8" t="s">
        <v>317</v>
      </c>
      <c r="F95" s="8"/>
      <c r="G95" s="1" t="s">
        <v>318</v>
      </c>
      <c r="H95" s="1"/>
      <c r="J95" s="2"/>
      <c r="K95" s="4"/>
    </row>
    <row r="96" spans="2:11" x14ac:dyDescent="0.4">
      <c r="B96" t="s">
        <v>319</v>
      </c>
      <c r="C96" s="1" t="s">
        <v>320</v>
      </c>
      <c r="D96" s="1" t="s">
        <v>321</v>
      </c>
      <c r="E96" s="8" t="s">
        <v>322</v>
      </c>
      <c r="F96" s="8"/>
      <c r="G96" s="1" t="s">
        <v>506</v>
      </c>
      <c r="H96" s="1"/>
      <c r="J96" s="2"/>
      <c r="K96" s="4"/>
    </row>
    <row r="97" spans="2:11" x14ac:dyDescent="0.4">
      <c r="B97" t="s">
        <v>323</v>
      </c>
      <c r="C97" s="1" t="s">
        <v>324</v>
      </c>
      <c r="D97" s="1" t="s">
        <v>325</v>
      </c>
      <c r="E97" s="8" t="s">
        <v>326</v>
      </c>
      <c r="F97" s="8"/>
      <c r="G97" s="1" t="s">
        <v>327</v>
      </c>
      <c r="H97" s="1"/>
      <c r="J97" s="2"/>
      <c r="K97" s="4"/>
    </row>
    <row r="98" spans="2:11" x14ac:dyDescent="0.4">
      <c r="B98" t="s">
        <v>328</v>
      </c>
      <c r="C98" s="1" t="s">
        <v>329</v>
      </c>
      <c r="D98" s="1" t="s">
        <v>330</v>
      </c>
      <c r="E98" s="8" t="s">
        <v>331</v>
      </c>
      <c r="F98" s="8"/>
      <c r="G98" s="1" t="s">
        <v>332</v>
      </c>
      <c r="H98" s="1"/>
      <c r="J98" s="2"/>
      <c r="K98" s="4"/>
    </row>
    <row r="99" spans="2:11" x14ac:dyDescent="0.4">
      <c r="B99" t="s">
        <v>333</v>
      </c>
      <c r="C99" s="1" t="s">
        <v>334</v>
      </c>
      <c r="D99" s="1" t="s">
        <v>335</v>
      </c>
      <c r="E99" s="8" t="s">
        <v>336</v>
      </c>
      <c r="F99" s="8"/>
      <c r="G99" s="1" t="s">
        <v>15</v>
      </c>
      <c r="H99" s="1"/>
      <c r="J99" s="2"/>
      <c r="K99" s="4"/>
    </row>
    <row r="100" spans="2:11" x14ac:dyDescent="0.4">
      <c r="B100" t="s">
        <v>337</v>
      </c>
      <c r="C100" s="1" t="s">
        <v>338</v>
      </c>
      <c r="D100" s="1" t="s">
        <v>339</v>
      </c>
      <c r="E100" s="8" t="s">
        <v>340</v>
      </c>
      <c r="F100" s="8"/>
      <c r="G100" s="1" t="s">
        <v>507</v>
      </c>
      <c r="H100" s="1"/>
      <c r="J100" s="2"/>
      <c r="K100" s="4"/>
    </row>
    <row r="101" spans="2:11" x14ac:dyDescent="0.4">
      <c r="B101" t="s">
        <v>341</v>
      </c>
      <c r="C101" s="1" t="s">
        <v>342</v>
      </c>
      <c r="D101" s="1" t="s">
        <v>343</v>
      </c>
      <c r="E101" s="8" t="s">
        <v>344</v>
      </c>
      <c r="F101" s="8"/>
      <c r="G101" s="1" t="s">
        <v>345</v>
      </c>
      <c r="H101" s="1"/>
      <c r="J101" s="2"/>
      <c r="K101" s="4"/>
    </row>
    <row r="102" spans="2:11" x14ac:dyDescent="0.4">
      <c r="B102" t="s">
        <v>346</v>
      </c>
      <c r="C102" s="1" t="s">
        <v>347</v>
      </c>
      <c r="D102" s="1" t="s">
        <v>348</v>
      </c>
      <c r="E102" s="8" t="s">
        <v>349</v>
      </c>
      <c r="F102" s="8"/>
      <c r="G102" s="1" t="s">
        <v>350</v>
      </c>
      <c r="H102" s="1"/>
      <c r="J102" s="2"/>
      <c r="K102" s="4"/>
    </row>
    <row r="103" spans="2:11" x14ac:dyDescent="0.4">
      <c r="B103" t="s">
        <v>351</v>
      </c>
      <c r="C103" s="1" t="s">
        <v>352</v>
      </c>
      <c r="D103" s="1" t="s">
        <v>353</v>
      </c>
      <c r="E103" s="8" t="s">
        <v>354</v>
      </c>
      <c r="F103" s="8"/>
      <c r="G103" s="1" t="s">
        <v>355</v>
      </c>
      <c r="H103" s="1"/>
      <c r="J103" s="2"/>
      <c r="K103" s="4"/>
    </row>
    <row r="104" spans="2:11" x14ac:dyDescent="0.4">
      <c r="B104" t="s">
        <v>356</v>
      </c>
      <c r="C104" s="1" t="s">
        <v>357</v>
      </c>
      <c r="D104" s="1" t="s">
        <v>358</v>
      </c>
      <c r="E104" s="8" t="s">
        <v>359</v>
      </c>
      <c r="F104" s="8"/>
      <c r="G104" s="1" t="s">
        <v>360</v>
      </c>
      <c r="H104" s="1"/>
      <c r="J104" s="2"/>
      <c r="K104" s="4"/>
    </row>
    <row r="105" spans="2:11" x14ac:dyDescent="0.4">
      <c r="B105" t="s">
        <v>361</v>
      </c>
      <c r="C105" s="1" t="s">
        <v>362</v>
      </c>
      <c r="D105" s="1" t="s">
        <v>363</v>
      </c>
      <c r="E105" s="8" t="s">
        <v>364</v>
      </c>
      <c r="F105" s="8"/>
      <c r="G105" s="1" t="s">
        <v>365</v>
      </c>
      <c r="H105" s="1"/>
      <c r="J105" s="2"/>
      <c r="K105" s="4"/>
    </row>
    <row r="106" spans="2:11" x14ac:dyDescent="0.4">
      <c r="B106" t="s">
        <v>366</v>
      </c>
      <c r="C106" s="1" t="s">
        <v>367</v>
      </c>
      <c r="D106" s="1" t="s">
        <v>368</v>
      </c>
      <c r="E106" s="8" t="s">
        <v>369</v>
      </c>
      <c r="F106" s="8"/>
      <c r="G106" s="1" t="s">
        <v>370</v>
      </c>
      <c r="H106" s="1"/>
      <c r="J106" s="2"/>
      <c r="K106" s="4"/>
    </row>
    <row r="107" spans="2:11" x14ac:dyDescent="0.4">
      <c r="C107" s="1"/>
      <c r="D107" s="1"/>
      <c r="E107" s="8"/>
      <c r="F107" s="8"/>
      <c r="G107" s="1"/>
      <c r="H107" s="1"/>
      <c r="J107" s="2"/>
      <c r="K107" s="4"/>
    </row>
    <row r="108" spans="2:11" x14ac:dyDescent="0.4">
      <c r="B108" t="s">
        <v>371</v>
      </c>
      <c r="C108" s="1"/>
      <c r="D108" s="1"/>
      <c r="E108" s="8"/>
      <c r="F108" s="8"/>
      <c r="G108" s="1"/>
      <c r="H108" s="1"/>
      <c r="J108" s="2"/>
      <c r="K108" s="4"/>
    </row>
    <row r="109" spans="2:11" x14ac:dyDescent="0.4">
      <c r="B109" t="s">
        <v>372</v>
      </c>
      <c r="C109" s="1"/>
      <c r="D109" s="1"/>
      <c r="E109" s="8"/>
      <c r="F109" s="8"/>
      <c r="G109" s="1"/>
      <c r="H109" s="1"/>
      <c r="J109" s="2"/>
      <c r="K109" s="4"/>
    </row>
    <row r="110" spans="2:11" x14ac:dyDescent="0.4">
      <c r="B110" t="s">
        <v>373</v>
      </c>
      <c r="C110" s="1" t="s">
        <v>374</v>
      </c>
      <c r="D110" s="1" t="s">
        <v>375</v>
      </c>
      <c r="E110" s="8" t="s">
        <v>9</v>
      </c>
      <c r="F110" s="8"/>
      <c r="G110" s="1" t="s">
        <v>376</v>
      </c>
      <c r="H110" s="1"/>
      <c r="J110" s="2"/>
      <c r="K110" s="4"/>
    </row>
    <row r="111" spans="2:11" x14ac:dyDescent="0.4">
      <c r="B111" t="s">
        <v>377</v>
      </c>
      <c r="C111" s="1" t="s">
        <v>378</v>
      </c>
      <c r="D111" s="1" t="s">
        <v>248</v>
      </c>
      <c r="E111" s="8" t="s">
        <v>9</v>
      </c>
      <c r="F111" s="8"/>
      <c r="G111" s="1" t="s">
        <v>376</v>
      </c>
      <c r="H111" s="1"/>
      <c r="J111" s="2"/>
      <c r="K111" s="4"/>
    </row>
    <row r="112" spans="2:11" x14ac:dyDescent="0.4">
      <c r="B112" t="s">
        <v>379</v>
      </c>
      <c r="C112" s="1" t="s">
        <v>380</v>
      </c>
      <c r="D112" s="1" t="s">
        <v>248</v>
      </c>
      <c r="E112" s="8" t="s">
        <v>9</v>
      </c>
      <c r="F112" s="8"/>
      <c r="G112" s="1" t="s">
        <v>381</v>
      </c>
      <c r="H112" s="1"/>
      <c r="J112" s="2"/>
      <c r="K112" s="4"/>
    </row>
    <row r="113" spans="2:11" x14ac:dyDescent="0.4">
      <c r="B113" t="s">
        <v>382</v>
      </c>
      <c r="C113" s="1" t="s">
        <v>383</v>
      </c>
      <c r="D113" s="1" t="s">
        <v>59</v>
      </c>
      <c r="E113" s="8" t="s">
        <v>9</v>
      </c>
      <c r="F113" s="8"/>
      <c r="G113" s="1" t="s">
        <v>376</v>
      </c>
      <c r="H113" s="1"/>
      <c r="J113" s="2"/>
      <c r="K113" s="4"/>
    </row>
    <row r="114" spans="2:11" x14ac:dyDescent="0.4">
      <c r="B114" t="s">
        <v>384</v>
      </c>
      <c r="C114" s="1" t="s">
        <v>385</v>
      </c>
      <c r="D114" s="1" t="s">
        <v>18</v>
      </c>
      <c r="E114" s="8" t="s">
        <v>9</v>
      </c>
      <c r="F114" s="8"/>
      <c r="G114" s="1" t="s">
        <v>376</v>
      </c>
      <c r="H114" s="1"/>
      <c r="J114" s="2"/>
      <c r="K114" s="4"/>
    </row>
    <row r="115" spans="2:11" x14ac:dyDescent="0.4">
      <c r="B115" t="s">
        <v>386</v>
      </c>
      <c r="C115" s="1" t="s">
        <v>387</v>
      </c>
      <c r="D115" s="1" t="s">
        <v>18</v>
      </c>
      <c r="E115" s="8" t="s">
        <v>9</v>
      </c>
      <c r="F115" s="8"/>
      <c r="G115" s="1" t="s">
        <v>376</v>
      </c>
      <c r="H115" s="1"/>
      <c r="J115" s="2"/>
      <c r="K115" s="4"/>
    </row>
    <row r="116" spans="2:11" x14ac:dyDescent="0.4">
      <c r="B116" t="s">
        <v>388</v>
      </c>
      <c r="C116" s="1" t="s">
        <v>72</v>
      </c>
      <c r="D116" s="1" t="s">
        <v>389</v>
      </c>
      <c r="E116" s="8" t="s">
        <v>9</v>
      </c>
      <c r="F116" s="8"/>
      <c r="G116" s="1" t="s">
        <v>376</v>
      </c>
      <c r="H116" s="1"/>
      <c r="J116" s="2"/>
      <c r="K116" s="4"/>
    </row>
    <row r="117" spans="2:11" x14ac:dyDescent="0.4">
      <c r="B117" t="s">
        <v>390</v>
      </c>
      <c r="C117" s="1" t="s">
        <v>391</v>
      </c>
      <c r="D117" s="1" t="s">
        <v>392</v>
      </c>
      <c r="E117" s="8" t="s">
        <v>9</v>
      </c>
      <c r="F117" s="8"/>
      <c r="G117" s="1" t="s">
        <v>376</v>
      </c>
      <c r="H117" s="1"/>
      <c r="J117" s="2"/>
      <c r="K117" s="4"/>
    </row>
    <row r="118" spans="2:11" x14ac:dyDescent="0.4">
      <c r="B118" t="s">
        <v>393</v>
      </c>
      <c r="C118" s="1" t="s">
        <v>394</v>
      </c>
      <c r="D118" s="1" t="s">
        <v>395</v>
      </c>
      <c r="E118" s="8" t="s">
        <v>396</v>
      </c>
      <c r="F118" s="8"/>
      <c r="G118" s="1" t="s">
        <v>397</v>
      </c>
      <c r="H118" s="1"/>
      <c r="J118" s="2"/>
      <c r="K118" s="4"/>
    </row>
    <row r="119" spans="2:11" x14ac:dyDescent="0.4">
      <c r="B119" t="s">
        <v>398</v>
      </c>
      <c r="C119" s="1"/>
      <c r="D119" s="1"/>
      <c r="E119" s="8"/>
      <c r="F119" s="8"/>
      <c r="G119" s="1"/>
      <c r="H119" s="1"/>
      <c r="J119" s="2"/>
      <c r="K119" s="4"/>
    </row>
    <row r="120" spans="2:11" x14ac:dyDescent="0.4">
      <c r="B120" t="s">
        <v>399</v>
      </c>
      <c r="C120" s="1" t="s">
        <v>400</v>
      </c>
      <c r="D120" s="1" t="s">
        <v>8</v>
      </c>
      <c r="E120" s="8" t="s">
        <v>9</v>
      </c>
      <c r="F120" s="8"/>
      <c r="G120" s="1" t="s">
        <v>401</v>
      </c>
      <c r="H120" s="1" t="s">
        <v>15</v>
      </c>
      <c r="J120" s="2"/>
      <c r="K120" s="4"/>
    </row>
    <row r="121" spans="2:11" x14ac:dyDescent="0.4">
      <c r="B121" t="s">
        <v>402</v>
      </c>
      <c r="C121" s="1" t="s">
        <v>403</v>
      </c>
      <c r="D121" s="1" t="s">
        <v>8</v>
      </c>
      <c r="E121" s="8" t="s">
        <v>9</v>
      </c>
      <c r="F121" s="8"/>
      <c r="G121" s="1" t="s">
        <v>404</v>
      </c>
      <c r="H121" s="1" t="s">
        <v>405</v>
      </c>
      <c r="J121" s="2"/>
      <c r="K121" s="4"/>
    </row>
    <row r="122" spans="2:11" x14ac:dyDescent="0.4">
      <c r="B122" t="s">
        <v>406</v>
      </c>
      <c r="C122" s="1" t="s">
        <v>407</v>
      </c>
      <c r="D122" s="1" t="s">
        <v>64</v>
      </c>
      <c r="E122" s="8" t="s">
        <v>9</v>
      </c>
      <c r="F122" s="8"/>
      <c r="G122" s="1" t="s">
        <v>408</v>
      </c>
      <c r="H122" s="1" t="s">
        <v>15</v>
      </c>
      <c r="J122" s="2"/>
      <c r="K122" s="4"/>
    </row>
    <row r="123" spans="2:11" x14ac:dyDescent="0.4">
      <c r="B123" t="s">
        <v>409</v>
      </c>
      <c r="C123" s="1" t="s">
        <v>410</v>
      </c>
      <c r="D123" s="1" t="s">
        <v>59</v>
      </c>
      <c r="E123" s="8" t="s">
        <v>9</v>
      </c>
      <c r="F123" s="8"/>
      <c r="G123" s="1" t="s">
        <v>408</v>
      </c>
      <c r="H123" s="1" t="s">
        <v>411</v>
      </c>
      <c r="J123" s="2"/>
      <c r="K123" s="4"/>
    </row>
    <row r="124" spans="2:11" x14ac:dyDescent="0.4">
      <c r="B124" t="s">
        <v>412</v>
      </c>
      <c r="C124" s="1" t="s">
        <v>413</v>
      </c>
      <c r="D124" s="1" t="s">
        <v>64</v>
      </c>
      <c r="E124" s="8" t="s">
        <v>9</v>
      </c>
      <c r="F124" s="8"/>
      <c r="G124" s="1" t="s">
        <v>408</v>
      </c>
      <c r="H124" s="1" t="s">
        <v>414</v>
      </c>
      <c r="J124" s="2"/>
      <c r="K124" s="4"/>
    </row>
    <row r="125" spans="2:11" x14ac:dyDescent="0.4">
      <c r="B125" t="s">
        <v>415</v>
      </c>
      <c r="C125" s="1" t="s">
        <v>72</v>
      </c>
      <c r="D125" s="1" t="s">
        <v>416</v>
      </c>
      <c r="E125" s="8" t="s">
        <v>9</v>
      </c>
      <c r="F125" s="8"/>
      <c r="G125" s="1" t="s">
        <v>408</v>
      </c>
      <c r="H125" s="1" t="s">
        <v>75</v>
      </c>
      <c r="J125" s="2"/>
      <c r="K125" s="4"/>
    </row>
    <row r="126" spans="2:11" x14ac:dyDescent="0.4">
      <c r="B126" t="s">
        <v>417</v>
      </c>
      <c r="C126" s="1" t="s">
        <v>418</v>
      </c>
      <c r="D126" s="1" t="s">
        <v>419</v>
      </c>
      <c r="E126" s="8" t="s">
        <v>420</v>
      </c>
      <c r="F126" s="8"/>
      <c r="G126" s="1" t="s">
        <v>421</v>
      </c>
      <c r="H126" s="1" t="s">
        <v>422</v>
      </c>
      <c r="J126" s="2"/>
      <c r="K126" s="4"/>
    </row>
    <row r="127" spans="2:11" x14ac:dyDescent="0.4">
      <c r="B127" t="s">
        <v>423</v>
      </c>
      <c r="C127" s="1" t="s">
        <v>424</v>
      </c>
      <c r="D127" s="1" t="s">
        <v>419</v>
      </c>
      <c r="E127" s="8" t="s">
        <v>9</v>
      </c>
      <c r="F127" s="8"/>
      <c r="G127" s="1" t="s">
        <v>425</v>
      </c>
      <c r="H127" s="1" t="s">
        <v>426</v>
      </c>
      <c r="J127" s="2"/>
      <c r="K127" s="4"/>
    </row>
    <row r="128" spans="2:11" x14ac:dyDescent="0.4">
      <c r="B128" t="s">
        <v>427</v>
      </c>
      <c r="C128" s="1" t="s">
        <v>428</v>
      </c>
      <c r="D128" s="1" t="s">
        <v>419</v>
      </c>
      <c r="E128" s="8" t="s">
        <v>9</v>
      </c>
      <c r="F128" s="8"/>
      <c r="G128" s="1" t="s">
        <v>429</v>
      </c>
      <c r="H128" s="1" t="s">
        <v>430</v>
      </c>
      <c r="J128" s="2"/>
      <c r="K128" s="4"/>
    </row>
    <row r="129" spans="2:11" x14ac:dyDescent="0.4">
      <c r="B129" t="s">
        <v>431</v>
      </c>
      <c r="C129" s="1" t="s">
        <v>432</v>
      </c>
      <c r="D129" s="1" t="s">
        <v>419</v>
      </c>
      <c r="E129" s="8" t="s">
        <v>9</v>
      </c>
      <c r="F129" s="8"/>
      <c r="G129" s="1" t="s">
        <v>429</v>
      </c>
      <c r="H129" s="1" t="s">
        <v>433</v>
      </c>
      <c r="J129" s="2"/>
      <c r="K129" s="4"/>
    </row>
    <row r="130" spans="2:11" x14ac:dyDescent="0.4">
      <c r="B130" t="s">
        <v>434</v>
      </c>
      <c r="C130" s="1" t="s">
        <v>435</v>
      </c>
      <c r="D130" s="1" t="s">
        <v>436</v>
      </c>
      <c r="E130" s="8" t="s">
        <v>437</v>
      </c>
      <c r="F130" s="8"/>
      <c r="G130" s="1" t="s">
        <v>429</v>
      </c>
      <c r="H130" s="1" t="s">
        <v>438</v>
      </c>
      <c r="J130" s="2"/>
      <c r="K130" s="4"/>
    </row>
    <row r="131" spans="2:11" x14ac:dyDescent="0.4">
      <c r="B131" t="s">
        <v>439</v>
      </c>
      <c r="C131" s="1" t="s">
        <v>440</v>
      </c>
      <c r="D131" s="1" t="s">
        <v>419</v>
      </c>
      <c r="E131" s="8" t="s">
        <v>441</v>
      </c>
      <c r="F131" s="8"/>
      <c r="G131" s="1" t="s">
        <v>442</v>
      </c>
      <c r="H131" s="1" t="s">
        <v>443</v>
      </c>
      <c r="J131" s="2"/>
      <c r="K131" s="4"/>
    </row>
    <row r="132" spans="2:11" x14ac:dyDescent="0.4">
      <c r="B132" t="s">
        <v>444</v>
      </c>
      <c r="C132" s="1" t="s">
        <v>445</v>
      </c>
      <c r="D132" s="1" t="s">
        <v>59</v>
      </c>
      <c r="E132" s="8" t="s">
        <v>446</v>
      </c>
      <c r="F132" s="8"/>
      <c r="G132" s="1" t="s">
        <v>442</v>
      </c>
      <c r="H132" s="1" t="s">
        <v>508</v>
      </c>
      <c r="J132" s="2"/>
      <c r="K132" s="4"/>
    </row>
    <row r="133" spans="2:11" x14ac:dyDescent="0.4">
      <c r="B133" t="s">
        <v>447</v>
      </c>
      <c r="C133" s="1" t="s">
        <v>448</v>
      </c>
      <c r="D133" s="1" t="s">
        <v>419</v>
      </c>
      <c r="E133" s="8" t="s">
        <v>9</v>
      </c>
      <c r="F133" s="8"/>
      <c r="G133" s="1" t="s">
        <v>449</v>
      </c>
      <c r="H133" s="1" t="s">
        <v>509</v>
      </c>
      <c r="J133" s="2"/>
      <c r="K133" s="4"/>
    </row>
    <row r="134" spans="2:11" x14ac:dyDescent="0.4">
      <c r="B134" t="s">
        <v>450</v>
      </c>
      <c r="C134" s="1"/>
      <c r="D134" s="1"/>
      <c r="E134" s="8"/>
      <c r="F134" s="8"/>
      <c r="G134" s="1"/>
      <c r="H134" s="1"/>
      <c r="J134" s="2"/>
      <c r="K134" s="4"/>
    </row>
    <row r="135" spans="2:11" x14ac:dyDescent="0.4">
      <c r="B135" t="s">
        <v>451</v>
      </c>
      <c r="C135" s="1" t="s">
        <v>452</v>
      </c>
      <c r="D135" s="1" t="s">
        <v>8</v>
      </c>
      <c r="E135" s="8" t="s">
        <v>9</v>
      </c>
      <c r="F135" s="8"/>
      <c r="G135" s="1" t="s">
        <v>453</v>
      </c>
      <c r="H135" s="1" t="s">
        <v>454</v>
      </c>
      <c r="J135" s="2"/>
      <c r="K135" s="4"/>
    </row>
    <row r="136" spans="2:11" x14ac:dyDescent="0.4">
      <c r="B136" t="s">
        <v>455</v>
      </c>
      <c r="C136" s="1" t="s">
        <v>456</v>
      </c>
      <c r="D136" s="1" t="s">
        <v>8</v>
      </c>
      <c r="E136" s="8" t="s">
        <v>9</v>
      </c>
      <c r="F136" s="8"/>
      <c r="G136" s="1" t="s">
        <v>457</v>
      </c>
      <c r="H136" s="1" t="s">
        <v>15</v>
      </c>
      <c r="J136" s="2"/>
      <c r="K136" s="4"/>
    </row>
    <row r="137" spans="2:11" x14ac:dyDescent="0.4">
      <c r="B137" t="s">
        <v>458</v>
      </c>
      <c r="C137" s="1" t="s">
        <v>459</v>
      </c>
      <c r="D137" s="1" t="s">
        <v>248</v>
      </c>
      <c r="E137" s="8" t="s">
        <v>9</v>
      </c>
      <c r="F137" s="8"/>
      <c r="G137" s="1" t="s">
        <v>457</v>
      </c>
      <c r="H137" s="1" t="s">
        <v>15</v>
      </c>
      <c r="J137" s="2"/>
      <c r="K137" s="4"/>
    </row>
    <row r="138" spans="2:11" x14ac:dyDescent="0.4">
      <c r="B138" t="s">
        <v>460</v>
      </c>
      <c r="C138" s="1" t="s">
        <v>461</v>
      </c>
      <c r="D138" s="1" t="s">
        <v>462</v>
      </c>
      <c r="E138" s="8" t="s">
        <v>9</v>
      </c>
      <c r="F138" s="8"/>
      <c r="G138" s="1" t="s">
        <v>463</v>
      </c>
      <c r="H138" s="1" t="s">
        <v>464</v>
      </c>
      <c r="J138" s="2"/>
      <c r="K138" s="4"/>
    </row>
    <row r="139" spans="2:11" x14ac:dyDescent="0.4">
      <c r="B139" t="s">
        <v>465</v>
      </c>
      <c r="C139" s="1" t="s">
        <v>466</v>
      </c>
      <c r="D139" s="1" t="s">
        <v>8</v>
      </c>
      <c r="E139" s="8" t="s">
        <v>9</v>
      </c>
      <c r="F139" s="8"/>
      <c r="G139" s="1" t="s">
        <v>467</v>
      </c>
      <c r="H139" s="1" t="s">
        <v>468</v>
      </c>
      <c r="J139" s="2"/>
      <c r="K139" s="4"/>
    </row>
    <row r="140" spans="2:11" x14ac:dyDescent="0.4">
      <c r="B140" t="s">
        <v>469</v>
      </c>
      <c r="C140" s="1" t="s">
        <v>470</v>
      </c>
      <c r="D140" s="1" t="s">
        <v>471</v>
      </c>
      <c r="E140" s="8" t="s">
        <v>472</v>
      </c>
      <c r="F140" s="8"/>
      <c r="G140" s="1" t="s">
        <v>473</v>
      </c>
      <c r="H140" s="1" t="s">
        <v>474</v>
      </c>
      <c r="J140" s="2"/>
      <c r="K140" s="4"/>
    </row>
    <row r="141" spans="2:11" x14ac:dyDescent="0.4">
      <c r="B141" t="s">
        <v>475</v>
      </c>
      <c r="C141" s="1"/>
      <c r="D141" s="1"/>
      <c r="E141" s="8"/>
      <c r="F141" s="8"/>
      <c r="G141" s="1"/>
      <c r="H141" s="1"/>
      <c r="J141" s="2"/>
      <c r="K141" s="4"/>
    </row>
    <row r="142" spans="2:11" x14ac:dyDescent="0.4">
      <c r="B142" t="s">
        <v>476</v>
      </c>
      <c r="C142" s="1" t="s">
        <v>477</v>
      </c>
      <c r="D142" s="1" t="s">
        <v>478</v>
      </c>
      <c r="E142" s="8" t="s">
        <v>9</v>
      </c>
      <c r="F142" s="8"/>
      <c r="G142" s="1" t="s">
        <v>479</v>
      </c>
      <c r="H142" s="1" t="s">
        <v>480</v>
      </c>
      <c r="J142" s="2"/>
      <c r="K142" s="4"/>
    </row>
    <row r="143" spans="2:11" x14ac:dyDescent="0.4">
      <c r="B143" t="s">
        <v>481</v>
      </c>
      <c r="C143" s="1" t="s">
        <v>482</v>
      </c>
      <c r="D143" s="1" t="s">
        <v>483</v>
      </c>
      <c r="E143" s="8" t="s">
        <v>105</v>
      </c>
      <c r="F143" s="8"/>
      <c r="G143" s="1" t="s">
        <v>484</v>
      </c>
      <c r="H143" s="1" t="s">
        <v>485</v>
      </c>
      <c r="J143" s="2"/>
      <c r="K143" s="4"/>
    </row>
    <row r="144" spans="2:11" x14ac:dyDescent="0.4">
      <c r="B144" t="s">
        <v>486</v>
      </c>
      <c r="C144" s="1" t="s">
        <v>487</v>
      </c>
      <c r="D144" s="1" t="s">
        <v>478</v>
      </c>
      <c r="E144" s="8" t="s">
        <v>9</v>
      </c>
      <c r="F144" s="8"/>
      <c r="G144" s="1" t="s">
        <v>488</v>
      </c>
      <c r="H144" s="1" t="s">
        <v>489</v>
      </c>
      <c r="J144" s="2"/>
      <c r="K144" s="4"/>
    </row>
    <row r="145" spans="1:11" x14ac:dyDescent="0.4">
      <c r="B145" t="s">
        <v>490</v>
      </c>
      <c r="C145" s="1" t="s">
        <v>1063</v>
      </c>
      <c r="D145" s="1" t="s">
        <v>491</v>
      </c>
      <c r="E145" s="8" t="s">
        <v>105</v>
      </c>
      <c r="F145" s="8"/>
      <c r="G145" s="1" t="s">
        <v>492</v>
      </c>
      <c r="H145" s="1" t="s">
        <v>493</v>
      </c>
      <c r="J145" s="2"/>
      <c r="K145" s="4"/>
    </row>
    <row r="146" spans="1:11" x14ac:dyDescent="0.4">
      <c r="B146" t="s">
        <v>494</v>
      </c>
      <c r="C146" s="1" t="s">
        <v>495</v>
      </c>
      <c r="D146" s="1" t="s">
        <v>496</v>
      </c>
      <c r="E146" s="8" t="s">
        <v>9</v>
      </c>
      <c r="F146" s="8"/>
      <c r="G146" s="1" t="s">
        <v>497</v>
      </c>
      <c r="H146" s="1" t="s">
        <v>498</v>
      </c>
      <c r="J146" s="2"/>
      <c r="K146" s="4"/>
    </row>
    <row r="147" spans="1:11" x14ac:dyDescent="0.4">
      <c r="C147" s="1"/>
      <c r="D147" s="1"/>
      <c r="E147" s="8"/>
      <c r="F147" s="8"/>
      <c r="G147" s="1"/>
      <c r="H147" s="1"/>
      <c r="J147" s="2"/>
      <c r="K147" s="4"/>
    </row>
    <row r="148" spans="1:11" x14ac:dyDescent="0.4">
      <c r="C148" s="1"/>
      <c r="D148" s="1"/>
      <c r="E148" s="8"/>
      <c r="F148" s="8"/>
      <c r="G148" s="1"/>
      <c r="H148" s="1"/>
      <c r="J148" s="2"/>
      <c r="K148" s="4"/>
    </row>
    <row r="149" spans="1:11" x14ac:dyDescent="0.4">
      <c r="K149" s="4"/>
    </row>
    <row r="150" spans="1:11" x14ac:dyDescent="0.4">
      <c r="K150" s="4"/>
    </row>
    <row r="151" spans="1:11" x14ac:dyDescent="0.4">
      <c r="K151" s="4"/>
    </row>
    <row r="152" spans="1:11" x14ac:dyDescent="0.4">
      <c r="B152">
        <v>1</v>
      </c>
      <c r="C152" t="s">
        <v>550</v>
      </c>
      <c r="K152" s="4"/>
    </row>
    <row r="153" spans="1:11" x14ac:dyDescent="0.4">
      <c r="A153" t="s">
        <v>552</v>
      </c>
      <c r="B153">
        <v>2</v>
      </c>
      <c r="C153" t="s">
        <v>551</v>
      </c>
      <c r="K153" s="4"/>
    </row>
    <row r="154" spans="1:11" x14ac:dyDescent="0.4">
      <c r="B154">
        <v>3</v>
      </c>
      <c r="K154" s="4"/>
    </row>
    <row r="155" spans="1:11" x14ac:dyDescent="0.4">
      <c r="K155" s="4"/>
    </row>
    <row r="156" spans="1:11" x14ac:dyDescent="0.4">
      <c r="K156" s="4"/>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F45"/>
  <sheetViews>
    <sheetView zoomScale="85" zoomScaleNormal="85" workbookViewId="0">
      <selection activeCell="B29" sqref="B29"/>
    </sheetView>
  </sheetViews>
  <sheetFormatPr defaultRowHeight="17.399999999999999" x14ac:dyDescent="0.4"/>
  <cols>
    <col min="2" max="2" width="35" bestFit="1" customWidth="1"/>
    <col min="3" max="3" width="13.8984375" bestFit="1" customWidth="1"/>
    <col min="4" max="5" width="15" bestFit="1" customWidth="1"/>
  </cols>
  <sheetData>
    <row r="1" spans="2:6" x14ac:dyDescent="0.4">
      <c r="B1" t="s">
        <v>528</v>
      </c>
    </row>
    <row r="3" spans="2:6" x14ac:dyDescent="0.4">
      <c r="B3" t="s">
        <v>529</v>
      </c>
    </row>
    <row r="4" spans="2:6" x14ac:dyDescent="0.4">
      <c r="B4" t="s">
        <v>530</v>
      </c>
    </row>
    <row r="5" spans="2:6" x14ac:dyDescent="0.4">
      <c r="B5" t="s">
        <v>531</v>
      </c>
    </row>
    <row r="6" spans="2:6" x14ac:dyDescent="0.4">
      <c r="B6" t="s">
        <v>532</v>
      </c>
      <c r="C6">
        <v>22</v>
      </c>
      <c r="D6">
        <v>23</v>
      </c>
      <c r="E6">
        <v>24</v>
      </c>
    </row>
    <row r="7" spans="2:6" x14ac:dyDescent="0.4">
      <c r="B7" t="s">
        <v>545</v>
      </c>
    </row>
    <row r="8" spans="2:6" x14ac:dyDescent="0.4">
      <c r="B8" t="s">
        <v>533</v>
      </c>
      <c r="C8">
        <v>1</v>
      </c>
      <c r="D8" s="9">
        <v>2859646275</v>
      </c>
      <c r="E8" s="9">
        <v>1211791636</v>
      </c>
    </row>
    <row r="9" spans="2:6" x14ac:dyDescent="0.4">
      <c r="B9" t="s">
        <v>534</v>
      </c>
      <c r="C9">
        <v>2</v>
      </c>
      <c r="D9" s="9">
        <v>113815513485</v>
      </c>
      <c r="E9" s="9">
        <v>54163078254</v>
      </c>
      <c r="F9" s="3" t="s">
        <v>549</v>
      </c>
    </row>
    <row r="10" spans="2:6" x14ac:dyDescent="0.4">
      <c r="B10" t="s">
        <v>535</v>
      </c>
      <c r="C10">
        <v>3</v>
      </c>
      <c r="D10" s="9">
        <v>20854107628</v>
      </c>
      <c r="E10" s="9">
        <v>23350845890</v>
      </c>
    </row>
    <row r="11" spans="2:6" x14ac:dyDescent="0.4">
      <c r="B11" t="s">
        <v>536</v>
      </c>
      <c r="C11">
        <v>4</v>
      </c>
      <c r="D11" s="9">
        <v>58726620</v>
      </c>
      <c r="E11" s="9">
        <v>97257054</v>
      </c>
    </row>
    <row r="12" spans="2:6" x14ac:dyDescent="0.4">
      <c r="B12" t="s">
        <v>537</v>
      </c>
      <c r="D12" s="9">
        <v>6340836534</v>
      </c>
      <c r="E12" s="9">
        <v>2965386650</v>
      </c>
    </row>
    <row r="13" spans="2:6" x14ac:dyDescent="0.4">
      <c r="B13" s="10" t="s">
        <v>546</v>
      </c>
      <c r="D13" s="11">
        <v>143928830542</v>
      </c>
      <c r="E13" s="11">
        <v>81788359484</v>
      </c>
    </row>
    <row r="14" spans="2:6" x14ac:dyDescent="0.4">
      <c r="B14" t="s">
        <v>538</v>
      </c>
      <c r="D14" s="9">
        <v>118566423965</v>
      </c>
      <c r="E14" s="9">
        <v>59293577247</v>
      </c>
    </row>
    <row r="15" spans="2:6" x14ac:dyDescent="0.4">
      <c r="B15" t="s">
        <v>539</v>
      </c>
      <c r="D15" s="9">
        <v>2158269186</v>
      </c>
      <c r="E15" s="9">
        <v>1632264921</v>
      </c>
    </row>
    <row r="16" spans="2:6" x14ac:dyDescent="0.4">
      <c r="B16" t="s">
        <v>547</v>
      </c>
      <c r="D16" s="9">
        <v>120724693151</v>
      </c>
      <c r="E16" s="9">
        <v>60925842168</v>
      </c>
    </row>
    <row r="17" spans="1:5" x14ac:dyDescent="0.4">
      <c r="B17" t="s">
        <v>540</v>
      </c>
      <c r="D17" s="9">
        <v>1142200000</v>
      </c>
      <c r="E17" s="9">
        <v>1142200000</v>
      </c>
    </row>
    <row r="18" spans="1:5" x14ac:dyDescent="0.4">
      <c r="B18" t="s">
        <v>541</v>
      </c>
      <c r="D18" s="9">
        <v>2693924000</v>
      </c>
      <c r="E18" s="9">
        <v>2693924000</v>
      </c>
    </row>
    <row r="19" spans="1:5" x14ac:dyDescent="0.4">
      <c r="B19" t="s">
        <v>542</v>
      </c>
      <c r="D19" t="s">
        <v>15</v>
      </c>
      <c r="E19" s="9">
        <v>936999420</v>
      </c>
    </row>
    <row r="20" spans="1:5" x14ac:dyDescent="0.4">
      <c r="B20" t="s">
        <v>543</v>
      </c>
      <c r="D20" s="9">
        <v>19368013391</v>
      </c>
      <c r="E20" s="9">
        <v>16089393896</v>
      </c>
    </row>
    <row r="21" spans="1:5" x14ac:dyDescent="0.4">
      <c r="B21" t="s">
        <v>548</v>
      </c>
      <c r="D21" s="9">
        <v>23204137391</v>
      </c>
      <c r="E21" s="9">
        <v>20862517316</v>
      </c>
    </row>
    <row r="22" spans="1:5" x14ac:dyDescent="0.4">
      <c r="B22" t="s">
        <v>544</v>
      </c>
      <c r="D22" s="9">
        <v>143928830542</v>
      </c>
      <c r="E22" s="9">
        <v>81788359484</v>
      </c>
    </row>
    <row r="24" spans="1:5" x14ac:dyDescent="0.4">
      <c r="A24" t="s">
        <v>554</v>
      </c>
    </row>
    <row r="25" spans="1:5" x14ac:dyDescent="0.4">
      <c r="A25">
        <v>6.1</v>
      </c>
      <c r="B25" t="s">
        <v>553</v>
      </c>
      <c r="E25" s="12">
        <f>IFERROR((E13-D13)/D13,"")</f>
        <v>-0.43174443107746041</v>
      </c>
    </row>
    <row r="32" spans="1:5" x14ac:dyDescent="0.4">
      <c r="A32">
        <v>7</v>
      </c>
      <c r="B32" t="s">
        <v>555</v>
      </c>
    </row>
    <row r="34" spans="1:5" x14ac:dyDescent="0.4">
      <c r="B34" t="s">
        <v>558</v>
      </c>
    </row>
    <row r="35" spans="1:5" x14ac:dyDescent="0.4">
      <c r="B35" t="s">
        <v>556</v>
      </c>
      <c r="C35" t="s">
        <v>559</v>
      </c>
      <c r="D35" t="s">
        <v>560</v>
      </c>
    </row>
    <row r="36" spans="1:5" x14ac:dyDescent="0.4">
      <c r="B36" t="s">
        <v>557</v>
      </c>
      <c r="C36">
        <v>14125</v>
      </c>
      <c r="D36">
        <v>7.3</v>
      </c>
    </row>
    <row r="39" spans="1:5" x14ac:dyDescent="0.4">
      <c r="A39" t="s">
        <v>562</v>
      </c>
    </row>
    <row r="41" spans="1:5" x14ac:dyDescent="0.4">
      <c r="A41" t="s">
        <v>561</v>
      </c>
      <c r="B41" t="s">
        <v>563</v>
      </c>
    </row>
    <row r="44" spans="1:5" x14ac:dyDescent="0.4">
      <c r="B44" s="13">
        <f ca="1">TODAY()</f>
        <v>45974</v>
      </c>
      <c r="C44" s="14">
        <f ca="1">YEAR(B44)-1</f>
        <v>2024</v>
      </c>
      <c r="D44">
        <v>12</v>
      </c>
      <c r="E44" s="9">
        <f>E13</f>
        <v>81788359484</v>
      </c>
    </row>
    <row r="45" spans="1:5" x14ac:dyDescent="0.4">
      <c r="E45" s="9">
        <f>E19</f>
        <v>936999420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0.Set</vt:lpstr>
      <vt:lpstr>01.Feildmap</vt:lpstr>
      <vt:lpstr>02.Concept</vt:lpstr>
      <vt:lpstr>03.Backdata</vt:lpstr>
      <vt:lpstr>04.Calculation</vt:lpstr>
      <vt:lpstr>샘플&gt;&gt;</vt:lpstr>
      <vt:lpstr>Report</vt:lpstr>
      <vt:lpstr>Lead</vt:lpstr>
      <vt:lpstr>Back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2025-11-12T15:42:45Z</dcterms:modified>
</cp:coreProperties>
</file>