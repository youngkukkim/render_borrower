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G\Downloads\"/>
    </mc:Choice>
  </mc:AlternateContent>
  <xr:revisionPtr revIDLastSave="0" documentId="13_ncr:1_{5D439BEF-9E86-44EB-B803-7180C9AE25EA}" xr6:coauthVersionLast="47" xr6:coauthVersionMax="47" xr10:uidLastSave="{00000000-0000-0000-0000-000000000000}"/>
  <bookViews>
    <workbookView xWindow="-90" yWindow="0" windowWidth="12980" windowHeight="15370" firstSheet="19" activeTab="21" xr2:uid="{00000000-000D-0000-FFFF-FFFF00000000}"/>
  </bookViews>
  <sheets>
    <sheet name="개요" sheetId="1" r:id="rId1"/>
    <sheet name="담보사항" sheetId="3" r:id="rId2"/>
    <sheet name="신청사 개요" sheetId="5" r:id="rId3"/>
    <sheet name="신청사 주주현황" sheetId="6" r:id="rId4"/>
    <sheet name="신청사 대표 경력" sheetId="7" r:id="rId5"/>
    <sheet name="신청사 BS" sheetId="8" r:id="rId6"/>
    <sheet name="신청사 PL" sheetId="9" r:id="rId7"/>
    <sheet name="신청사 차입금현황" sheetId="11" r:id="rId8"/>
    <sheet name="신청사 영업 주요상품" sheetId="12" r:id="rId9"/>
    <sheet name="신청사 대출상품 잔액 및 비중" sheetId="13" r:id="rId10"/>
    <sheet name="신청사 월별 영업현황" sheetId="14" r:id="rId11"/>
    <sheet name="신청사 월별 대출취급 및 원리금상환 현황" sheetId="15" r:id="rId12"/>
    <sheet name="신청사 총자산한도 현황" sheetId="16" r:id="rId13"/>
    <sheet name="신청사 연체율 현황" sheetId="17" r:id="rId14"/>
    <sheet name="신청사 연체율 현황(당해년도분)" sheetId="18" r:id="rId15"/>
    <sheet name="신청사 대손충당금 현황" sheetId="19" r:id="rId16"/>
    <sheet name="신청사 대손충당금 적립비율" sheetId="20" r:id="rId17"/>
    <sheet name="신청사 자산건전성 현황" sheetId="21" r:id="rId18"/>
    <sheet name="보증사 개요" sheetId="22" r:id="rId19"/>
    <sheet name="보증사 주주현황" sheetId="23" r:id="rId20"/>
    <sheet name="보증사 BS" sheetId="24" r:id="rId21"/>
    <sheet name="보증사 PL" sheetId="25" r:id="rId22"/>
    <sheet name="보증사 주요 재무지표" sheetId="26" r:id="rId23"/>
    <sheet name="보증사 영업현황" sheetId="27" r:id="rId24"/>
    <sheet name="보증사 월별 영업현황" sheetId="28" r:id="rId25"/>
    <sheet name="보증사 총자산한도" sheetId="29" r:id="rId26"/>
    <sheet name="별첨1.차주 차입금현황" sheetId="31" r:id="rId27"/>
    <sheet name="별첨1.1 차주 차입금 요약표" sheetId="32" r:id="rId28"/>
    <sheet name="별첨2 보증사 차입금 현황" sheetId="33" r:id="rId29"/>
    <sheet name="보증사 차입금 요약표" sheetId="34"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9" l="1"/>
  <c r="D5" i="9"/>
  <c r="C5" i="9"/>
  <c r="B5" i="9"/>
  <c r="E2" i="9"/>
  <c r="E11" i="9" s="1"/>
  <c r="D2" i="9"/>
  <c r="D11" i="9" s="1"/>
  <c r="C2" i="9"/>
  <c r="C11" i="9" s="1"/>
  <c r="B2" i="9"/>
  <c r="B11" i="9" s="1"/>
  <c r="B8" i="34"/>
  <c r="C7" i="34"/>
  <c r="C6" i="34"/>
  <c r="C5" i="34"/>
  <c r="C4" i="34"/>
  <c r="C3" i="34"/>
  <c r="C2" i="34"/>
  <c r="C8" i="34" s="1"/>
  <c r="B7" i="32"/>
  <c r="C7" i="32" s="1"/>
  <c r="C8" i="23"/>
  <c r="B8" i="23"/>
  <c r="D3" i="23" s="1"/>
  <c r="D7" i="23"/>
  <c r="D6" i="23"/>
  <c r="D5" i="23"/>
  <c r="D4" i="23"/>
  <c r="N20" i="15"/>
  <c r="M20" i="15"/>
  <c r="L20" i="15"/>
  <c r="K20" i="15"/>
  <c r="J20" i="15"/>
  <c r="I20" i="15"/>
  <c r="H20" i="15"/>
  <c r="G20" i="15"/>
  <c r="F20" i="15"/>
  <c r="E20" i="15"/>
  <c r="D20" i="15"/>
  <c r="C20" i="15"/>
  <c r="N5" i="15"/>
  <c r="M5" i="15"/>
  <c r="L5" i="15"/>
  <c r="K5" i="15"/>
  <c r="J5" i="15"/>
  <c r="I5" i="15"/>
  <c r="H5" i="15"/>
  <c r="G5" i="15"/>
  <c r="F5" i="15"/>
  <c r="E5" i="15"/>
  <c r="D5" i="15"/>
  <c r="C5" i="15"/>
  <c r="B6" i="13"/>
  <c r="C5" i="13"/>
  <c r="C4" i="13"/>
  <c r="C6" i="13" s="1"/>
  <c r="B7" i="11"/>
  <c r="C6" i="11" s="1"/>
  <c r="E11" i="8"/>
  <c r="D11" i="8"/>
  <c r="C11" i="8"/>
  <c r="B11" i="8"/>
  <c r="E8" i="8"/>
  <c r="E15" i="8" s="1"/>
  <c r="D8" i="8"/>
  <c r="D15" i="8" s="1"/>
  <c r="C8" i="8"/>
  <c r="C15" i="8" s="1"/>
  <c r="B8" i="8"/>
  <c r="B15" i="8" s="1"/>
  <c r="E4" i="8"/>
  <c r="D4" i="8"/>
  <c r="C4" i="8"/>
  <c r="B4" i="8"/>
  <c r="C4" i="32" l="1"/>
  <c r="C2" i="32"/>
  <c r="C3" i="32"/>
  <c r="C5" i="32"/>
  <c r="C6" i="32"/>
  <c r="C2" i="11"/>
  <c r="C3" i="11"/>
  <c r="C4" i="11"/>
  <c r="C5" i="11"/>
  <c r="D2" i="23"/>
  <c r="D8" i="23" s="1"/>
  <c r="C7" i="11" l="1"/>
</calcChain>
</file>

<file path=xl/sharedStrings.xml><?xml version="1.0" encoding="utf-8"?>
<sst xmlns="http://schemas.openxmlformats.org/spreadsheetml/2006/main" count="761" uniqueCount="373">
  <si>
    <t>신청사 ㈜오케이파이낸셜대부는 2014년 12월 설립되어 신용대출을 주 상품으로 대부업을 영위하고 있는 업체로서 2023년 12월 결산 기준 자산총계 1,439억원, 자본총계 232억원, 총자산한도 6.20배로 대부업 규정 준수중이며, 매출액 247억원, 당기순이익 1.4억원을 시현하였음. 2016년 8월부터 2024년 6월까지 당행과 14회, 누적취급액 220억원을 정상 거래했던 기 거래업체로 금번 신용대출채권 담보로 대부업 대출 10억원 신청함</t>
  </si>
  <si>
    <t>업 체 명</t>
  </si>
  <si>
    <t>㈜오케이파이낸셜대부</t>
  </si>
  <si>
    <t>법인(사업자)등록번호</t>
  </si>
  <si>
    <t>110111-5589580 /264-81-47097</t>
  </si>
  <si>
    <t>대출금액</t>
  </si>
  <si>
    <t>금일십억원(\1,000,000,000)</t>
  </si>
  <si>
    <t>대출과목</t>
  </si>
  <si>
    <t>일반자금대출</t>
  </si>
  <si>
    <t>대출이율</t>
  </si>
  <si>
    <t>대출기간</t>
  </si>
  <si>
    <t>20개월</t>
  </si>
  <si>
    <t>취급예정일</t>
  </si>
  <si>
    <t>2024.07.00</t>
  </si>
  <si>
    <t>취급예정일 기준
대부업대출 잔액</t>
  </si>
  <si>
    <t>390억</t>
  </si>
  <si>
    <t>취급수수료</t>
  </si>
  <si>
    <t>-</t>
  </si>
  <si>
    <t>중도상환수수료</t>
  </si>
  <si>
    <t>자금용도</t>
  </si>
  <si>
    <t>운영자금</t>
  </si>
  <si>
    <t>총자산한도(자산/자본)</t>
  </si>
  <si>
    <t>6.20배 (23.12.기준)</t>
  </si>
  <si>
    <t>상환방법</t>
  </si>
  <si>
    <t>원리금균등분할상환(월 53.4백만원)</t>
  </si>
  <si>
    <t>채권보전</t>
  </si>
  <si>
    <t>-  물적담보 : 당행 대출금액의 130%에 해당하는 신청사 대출채권 양도 담보</t>
  </si>
  <si>
    <t>-  인적담보 : 최대주주 김봉철, 관계사 ㈜골든캐피탈대부 연대보증 입보</t>
  </si>
  <si>
    <t>기 타</t>
  </si>
  <si>
    <t>-  매월 채권내역(연체채권 내역 등)에 대한 확인서 제출 또는 담보실사(담당자 방문) 진행</t>
  </si>
  <si>
    <t>-  양수채권의 연체, 상환 등으로 인해 담보비율 130% 미달 시 익월 중 채권교체 실시 (본부장 전결)</t>
  </si>
  <si>
    <t>-  양도담보채권 샘플링하여 최초 실행내역 및 원리금 불입내역(최근 3개월) 확인</t>
  </si>
  <si>
    <t>-  중도상환수수료: 취급 후 15개월 내 스케쥴 외 상환 시 1%</t>
  </si>
  <si>
    <t>구 분</t>
  </si>
  <si>
    <t>비 고</t>
  </si>
  <si>
    <t>자본금</t>
  </si>
  <si>
    <t>1,142백만원</t>
  </si>
  <si>
    <t>대출채권</t>
  </si>
  <si>
    <t>2016-금감원-0037(대부업)</t>
  </si>
  <si>
    <t>-  당행 대출금액의 130% 해당하는 신청사 대출채권 양도 담보</t>
  </si>
  <si>
    <t>-  담보 제공된 대출채권이 연체 또는 상환 발생시, 매월 정상채권 교환 및 보완으로 담보비율 130% 이상 유지</t>
  </si>
  <si>
    <t>-  매월 채권내역(연체채권 내역 등)에 대한 확인서 또는 전산 제공</t>
  </si>
  <si>
    <t>→ 대부업체 전산에 당행 담당자 아이피 등록 후 양도담보비율, 거래내역 등 상시 확인 가능</t>
  </si>
  <si>
    <t>-  최대주주 김봉철 : 한정근보증(대출금의 130%)</t>
  </si>
  <si>
    <t>-  관계사 ㈜골든캐피탈대부 연대보증 입보 (대출금의 130%)</t>
  </si>
  <si>
    <t>경 력 사 항</t>
  </si>
  <si>
    <t>- 前 웰컴크레디트라인대부(주) 구로, 부평지점장</t>
  </si>
  <si>
    <t>-  前 ㈜굿모닝캐피탈대부 이사</t>
  </si>
  <si>
    <t>-  現 ㈜오케이파이낸셜대부 이사</t>
  </si>
  <si>
    <t>(761229-1)</t>
  </si>
  <si>
    <t>- 現 ㈜골든캐피탈대부 이사</t>
  </si>
  <si>
    <t>- NICE 917점</t>
  </si>
  <si>
    <t>구분</t>
  </si>
  <si>
    <t>만기일</t>
  </si>
  <si>
    <t>대출잔액</t>
  </si>
  <si>
    <t>소 계</t>
  </si>
  <si>
    <t>합 계</t>
  </si>
  <si>
    <t>대 표 자</t>
  </si>
  <si>
    <t>박 은 섭</t>
  </si>
  <si>
    <t>사 업 내 용</t>
  </si>
  <si>
    <t>대 부 업</t>
  </si>
  <si>
    <t>기 업 형 태</t>
  </si>
  <si>
    <t>외 감</t>
  </si>
  <si>
    <t>본 사 소 재 지</t>
  </si>
  <si>
    <t>서울시 영등포구 국회대로74길 4, 2층</t>
  </si>
  <si>
    <t>설 립 일 자</t>
  </si>
  <si>
    <t>자 본 금</t>
  </si>
  <si>
    <t>대 부 업 등 록</t>
  </si>
  <si>
    <t>인 원 수</t>
  </si>
  <si>
    <t>30명</t>
  </si>
  <si>
    <t>사업자등록번호</t>
  </si>
  <si>
    <t>264-81-47097</t>
  </si>
  <si>
    <t>주 주 명</t>
  </si>
  <si>
    <t>주 식 수</t>
  </si>
  <si>
    <t>금 액</t>
  </si>
  <si>
    <t>지 분 율</t>
  </si>
  <si>
    <t>김봉철</t>
  </si>
  <si>
    <t>보통주</t>
  </si>
  <si>
    <t>㈜골든캐피탈대부</t>
  </si>
  <si>
    <t>박은섭</t>
  </si>
  <si>
    <t>상환우선주</t>
  </si>
  <si>
    <t>- 前 ㈜굿모닝캐피탈대부 이사</t>
  </si>
  <si>
    <t>- 前 ㈜케이지코퍼레이션대부 이사</t>
  </si>
  <si>
    <t>- 現 ㈜골든캐피탈대부 대표이사</t>
  </si>
  <si>
    <t>- 現 ㈜오케이파이낸셜대부 대표이사</t>
  </si>
  <si>
    <t>2021.12.</t>
  </si>
  <si>
    <t>2022.12.</t>
  </si>
  <si>
    <t>자산총계</t>
  </si>
  <si>
    <t>현금성자산</t>
  </si>
  <si>
    <t>대출금</t>
  </si>
  <si>
    <t>(대손충당금)</t>
  </si>
  <si>
    <t>기타자산</t>
  </si>
  <si>
    <t>부채총계</t>
  </si>
  <si>
    <t>차입부채</t>
  </si>
  <si>
    <t>기타부채</t>
  </si>
  <si>
    <t>자본총계</t>
  </si>
  <si>
    <t>주식발행초과금</t>
  </si>
  <si>
    <t>자본(이익)잉여금</t>
  </si>
  <si>
    <t>검증</t>
  </si>
  <si>
    <t>영업수익</t>
  </si>
  <si>
    <t>대출금이자수익</t>
  </si>
  <si>
    <t>기타수익</t>
  </si>
  <si>
    <t>영업비용</t>
  </si>
  <si>
    <t>이자비용</t>
  </si>
  <si>
    <t>대손상각비</t>
  </si>
  <si>
    <t>대출채권처분손실</t>
  </si>
  <si>
    <t>일반관리비</t>
  </si>
  <si>
    <t>기타영업비용</t>
  </si>
  <si>
    <t>영업이익</t>
  </si>
  <si>
    <t>영업외손익</t>
  </si>
  <si>
    <t>법인세차감전 순이익</t>
  </si>
  <si>
    <t>법인세</t>
  </si>
  <si>
    <t>당기순이익</t>
  </si>
  <si>
    <t>※당기순손실 사유 : ‘24.01~03월까지 정상채권 약 852억원(신용채권 663억, 부동산담보채권 189억) 매각에 따른 대출자산의 감소로 인한 이자수익 감소 및 연체율 상승에 따른 대손비용 증가. ’24.03월부터 우량자산 확보를 위해 소액 부동산담보대출(후순위)을 취급하여 특수채권(개인회생, 신용회복)으로의 전이를 방 지하고, 일부 신용대출 취급으로 이자수익 증대 예정. ‘24.12월말 기준 대출자산 600억원을 목표로 영업을 확대하고 있음.</t>
  </si>
  <si>
    <t>비고</t>
  </si>
  <si>
    <t>총자산증가율</t>
  </si>
  <si>
    <t>(당기-전기총자산) / 전기 총자산</t>
  </si>
  <si>
    <t>대출채권 증가율</t>
  </si>
  <si>
    <t>(당기-전기대출자산) / 전기 대출자산</t>
  </si>
  <si>
    <t>자기자본 비율</t>
  </si>
  <si>
    <t>자기자본 / 총자산</t>
  </si>
  <si>
    <t>법인세차감전 순이익율</t>
  </si>
  <si>
    <t>법인세차감전순이익 / 총자산</t>
  </si>
  <si>
    <t>ROA(총자산수익율)</t>
  </si>
  <si>
    <t>당기순이익 / 총자산</t>
  </si>
  <si>
    <t>ROE(자기자본이익율)</t>
  </si>
  <si>
    <t>당기순이익 / 자기자본</t>
  </si>
  <si>
    <t>영업수익대 영업이익율</t>
  </si>
  <si>
    <t>영업이익 / 영업수익</t>
  </si>
  <si>
    <t>영업수익대 순이익율</t>
  </si>
  <si>
    <t>당기순이익 / 영업수익</t>
  </si>
  <si>
    <t>대출채권평잔</t>
  </si>
  <si>
    <t>(전기+당기 대출채권) / 2</t>
  </si>
  <si>
    <t>운용수익율(A)</t>
  </si>
  <si>
    <t>대출금이자수익 / 대출채권평잔</t>
  </si>
  <si>
    <t>이자원가율(B)</t>
  </si>
  <si>
    <t>차입금이자비용 / 대출채권평잔</t>
  </si>
  <si>
    <t>대손비용율(C)</t>
  </si>
  <si>
    <t>대손상각비 / 대출채권평잔</t>
  </si>
  <si>
    <t>모집비용율(D)</t>
  </si>
  <si>
    <t>모집비용 / 대출채권평잔</t>
  </si>
  <si>
    <t>기타관리비 / 대출채권평잔</t>
  </si>
  <si>
    <t>영업이익율(A-B-C-D-E)</t>
  </si>
  <si>
    <t>잔 액</t>
  </si>
  <si>
    <t>비율(%)</t>
  </si>
  <si>
    <t>시 중 은 행</t>
  </si>
  <si>
    <t>여 전 사</t>
  </si>
  <si>
    <t>저 축 은 행</t>
  </si>
  <si>
    <t>대 부 사</t>
  </si>
  <si>
    <t>사 모 사 채</t>
  </si>
  <si>
    <t>상품명</t>
  </si>
  <si>
    <t>대 상</t>
  </si>
  <si>
    <t>한 도</t>
  </si>
  <si>
    <t>금 리</t>
  </si>
  <si>
    <t>신용대출</t>
  </si>
  <si>
    <t>개시자, 회생자, 회복자, 파산자</t>
  </si>
  <si>
    <t>15백만원</t>
  </si>
  <si>
    <t>36M-60M</t>
  </si>
  <si>
    <t>원리금균등/만기일시</t>
  </si>
  <si>
    <t>후순위 소액담보대출</t>
  </si>
  <si>
    <t>본인명의 주택소유자</t>
  </si>
  <si>
    <t>30백만원</t>
  </si>
  <si>
    <t>24M~36M</t>
  </si>
  <si>
    <t>원금자유</t>
  </si>
  <si>
    <t>지분대출</t>
  </si>
  <si>
    <t>본인 또는 배우자명의 주택소유자</t>
  </si>
  <si>
    <t>100백만원</t>
  </si>
  <si>
    <t>15.9~19.0%</t>
  </si>
  <si>
    <t>만기일시</t>
  </si>
  <si>
    <t>▶24.03월 정상채권 약 852억원(신용채권 663억, 부동산담보채권 189억) 매각 이후 후순위 소액 부동산 담보대출을 주력하고 있음</t>
  </si>
  <si>
    <t>비중</t>
  </si>
  <si>
    <t>담보대출</t>
  </si>
  <si>
    <t>▶담보제공 가능 신용대출채권 66억원(신용대출 정상채권기준)</t>
  </si>
  <si>
    <t>납입자본금</t>
  </si>
  <si>
    <t>당기손익(누적)</t>
  </si>
  <si>
    <t>대출건수(月)</t>
  </si>
  <si>
    <t>대출금액(月)</t>
  </si>
  <si>
    <t>총 대출건수</t>
  </si>
  <si>
    <t>차입금</t>
  </si>
  <si>
    <t>대출 취급</t>
  </si>
  <si>
    <t>신 규</t>
  </si>
  <si>
    <t>재대출</t>
  </si>
  <si>
    <t>원금 회수액</t>
  </si>
  <si>
    <t>이자 회수액</t>
  </si>
  <si>
    <t>월간 순증액</t>
  </si>
  <si>
    <t>월대출 건 수</t>
  </si>
  <si>
    <t>평균단가</t>
  </si>
  <si>
    <t>평균이자율(누적)</t>
  </si>
  <si>
    <t>300만원 이하</t>
  </si>
  <si>
    <t>500만원 이하</t>
  </si>
  <si>
    <t>700만원 이하</t>
  </si>
  <si>
    <t>1,000만원 이하</t>
  </si>
  <si>
    <t>2,000만원 이하</t>
  </si>
  <si>
    <t>2,000만원 초과</t>
  </si>
  <si>
    <t>총자산한도</t>
  </si>
  <si>
    <t>연 체 금 액</t>
  </si>
  <si>
    <t>1일이상</t>
  </si>
  <si>
    <t>11일이상</t>
  </si>
  <si>
    <t>31일이상</t>
  </si>
  <si>
    <t>연 체 율</t>
  </si>
  <si>
    <t>대손충당금</t>
  </si>
  <si>
    <t>상 각</t>
  </si>
  <si>
    <t>매 각</t>
  </si>
  <si>
    <t>신용</t>
  </si>
  <si>
    <t>담보</t>
  </si>
  <si>
    <t>총 대출금</t>
  </si>
  <si>
    <t>대출취급</t>
  </si>
  <si>
    <t>대출건수</t>
  </si>
  <si>
    <t>연체금액</t>
  </si>
  <si>
    <t>1일~10일</t>
  </si>
  <si>
    <t>11일~30일</t>
  </si>
  <si>
    <t>31일 이상</t>
  </si>
  <si>
    <t>소계</t>
  </si>
  <si>
    <t>연체율</t>
  </si>
  <si>
    <t>충당금</t>
  </si>
  <si>
    <t>설정율(%)</t>
  </si>
  <si>
    <t>기초금액</t>
  </si>
  <si>
    <t>신규설정</t>
  </si>
  <si>
    <t>감소액</t>
  </si>
  <si>
    <t>기말잔액</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</si>
  <si>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</si>
  <si>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</si>
  <si>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</si>
  <si>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</si>
  <si>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</si>
  <si>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</si>
  <si>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</si>
  <si>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</si>
  <si>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</si>
  <si>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</si>
  <si>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</si>
  <si>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</si>
  <si>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</si>
  <si>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A. 대출금</t>
  </si>
  <si>
    <t>B. 총 연체대출금</t>
  </si>
  <si>
    <t>C. 대손충당금</t>
  </si>
  <si>
    <t>D. 총 연체비율</t>
  </si>
  <si>
    <t>30,53%</t>
  </si>
  <si>
    <t>E. 전체대출금/ 충당금 적립율</t>
  </si>
  <si>
    <t>F. 연체 31일 이상 충당금 적립율</t>
  </si>
  <si>
    <t>박은섭, 권덕주(각자대표)</t>
  </si>
  <si>
    <t>서울특별시 영등포구 국회대로74실 4, 6층(여의도동, KC TOWER)</t>
  </si>
  <si>
    <t>1,000백만원</t>
  </si>
  <si>
    <t>2016-금감원-0024(대부업)</t>
  </si>
  <si>
    <t>47명</t>
  </si>
  <si>
    <t>264-81-07004</t>
  </si>
  <si>
    <t>최대주주</t>
  </si>
  <si>
    <t>김도현</t>
  </si>
  <si>
    <t>김현영</t>
  </si>
  <si>
    <t>대표이사(각자대표)</t>
  </si>
  <si>
    <t>권덕주</t>
  </si>
  <si>
    <t>허정우</t>
  </si>
  <si>
    <t>항 목</t>
  </si>
  <si>
    <t>대출채권처분이익</t>
  </si>
  <si>
    <t>지분법이익</t>
  </si>
  <si>
    <t>대손비용</t>
  </si>
  <si>
    <t>모집비용</t>
  </si>
  <si>
    <t>기타판관비</t>
  </si>
  <si>
    <t>감가상각비</t>
  </si>
  <si>
    <t>무형자산상각비</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</si>
  <si>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</si>
  <si>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t>기타 판관비용율(E)</t>
  </si>
  <si>
    <t>대상</t>
  </si>
  <si>
    <t>일반대출</t>
  </si>
  <si>
    <t>직장인, 사업자, 기타</t>
  </si>
  <si>
    <t>3,000만원</t>
  </si>
  <si>
    <t>60개월 이내</t>
  </si>
  <si>
    <t>원리금균등/자유</t>
  </si>
  <si>
    <t>연금리 20% 이내</t>
  </si>
  <si>
    <t>103,42</t>
  </si>
  <si>
    <t>총 대출잔액</t>
  </si>
  <si>
    <t>은행명</t>
  </si>
  <si>
    <t>한도금액</t>
  </si>
  <si>
    <t>금리(%)</t>
  </si>
  <si>
    <t>차입일</t>
  </si>
  <si>
    <t>상환방식</t>
  </si>
  <si>
    <t>담보제공</t>
  </si>
  <si>
    <t>㈜우리은행</t>
  </si>
  <si>
    <t>원금균등</t>
  </si>
  <si>
    <t>신탁등기(시설자금)</t>
  </si>
  <si>
    <t>㈜국민은행</t>
  </si>
  <si>
    <t>MOR 3M 변동+3.54%</t>
  </si>
  <si>
    <t>무담보</t>
  </si>
  <si>
    <t>㈜신한은행</t>
  </si>
  <si>
    <t>금융권 소계</t>
  </si>
  <si>
    <t>㈜유진대부금융</t>
  </si>
  <si>
    <t>부동산</t>
  </si>
  <si>
    <t>㈜조이크레디트대부금융</t>
  </si>
  <si>
    <t>원리금균등</t>
  </si>
  <si>
    <t>일반대출 소계</t>
  </si>
  <si>
    <t>㈜영진저축은행</t>
  </si>
  <si>
    <t>웰컴저축은행(주)</t>
  </si>
  <si>
    <t>신용채권</t>
  </si>
  <si>
    <t>저축은행 소계</t>
  </si>
  <si>
    <t>제이비우리캐피탈㈜</t>
  </si>
  <si>
    <t>여전사 소계</t>
  </si>
  <si>
    <t>무보증사모사채</t>
  </si>
  <si>
    <t>7.0~10.0%</t>
  </si>
  <si>
    <t>(총 46건) 소계</t>
  </si>
  <si>
    <t>합계</t>
  </si>
  <si>
    <t>금 융 권</t>
  </si>
  <si>
    <t>과목</t>
  </si>
  <si>
    <t>국민은행</t>
  </si>
  <si>
    <t>은행</t>
  </si>
  <si>
    <t>농협은행</t>
  </si>
  <si>
    <t>대구은행</t>
  </si>
  <si>
    <t>우리은행</t>
  </si>
  <si>
    <t>1금융 소계</t>
  </si>
  <si>
    <t>롯데카드</t>
  </si>
  <si>
    <t>여전사</t>
  </si>
  <si>
    <t>BC카드</t>
  </si>
  <si>
    <t>우리카드</t>
  </si>
  <si>
    <t>BNK캐피탈</t>
  </si>
  <si>
    <t>신한캐피탈</t>
  </si>
  <si>
    <t>에코캐피탈</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</si>
  <si>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</si>
  <si>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</si>
  <si>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</si>
  <si>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</si>
  <si>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</si>
  <si>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</si>
  <si>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</si>
  <si>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</si>
  <si>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</si>
  <si>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</si>
  <si>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</si>
  <si>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</si>
  <si>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</si>
  <si>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</si>
  <si>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</si>
  <si>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</si>
  <si>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</si>
  <si>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</si>
  <si>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</si>
  <si>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</si>
  <si>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</si>
  <si>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</si>
  <si>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</si>
  <si>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</si>
  <si>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</si>
  <si>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</si>
  <si>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</si>
  <si>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우리종합금융</t>
  </si>
  <si>
    <t>종금사</t>
  </si>
  <si>
    <t>종금사 소계</t>
  </si>
  <si>
    <t>일반투자자(13건)</t>
  </si>
  <si>
    <t>일반</t>
  </si>
  <si>
    <t>원금자유/만기일시</t>
  </si>
  <si>
    <t>/원리금균등</t>
  </si>
  <si>
    <t>일반 소계</t>
  </si>
  <si>
    <t>무보증사모사채(83건) 사모사채</t>
  </si>
  <si>
    <t>6.0~9.0%</t>
  </si>
  <si>
    <t>무보증사모사채 소계</t>
  </si>
  <si>
    <t>일 반 대 출</t>
  </si>
  <si>
    <t>종 금 사</t>
  </si>
  <si>
    <t>인적담보(연대보증인)</t>
    <phoneticPr fontId="1" type="noConversion"/>
  </si>
  <si>
    <t>물적담보</t>
    <phoneticPr fontId="1" type="noConversion"/>
  </si>
  <si>
    <t>최대주주 경력사항</t>
    <phoneticPr fontId="1" type="noConversion"/>
  </si>
  <si>
    <t>이름</t>
    <phoneticPr fontId="1" type="noConversion"/>
  </si>
  <si>
    <t>김봉철</t>
    <phoneticPr fontId="1" type="noConversion"/>
  </si>
  <si>
    <t>경력사항</t>
    <phoneticPr fontId="1" type="noConversion"/>
  </si>
  <si>
    <t>주민번호</t>
    <phoneticPr fontId="1" type="noConversion"/>
  </si>
  <si>
    <t>본 사 소 재 지</t>
    <phoneticPr fontId="1" type="noConversion"/>
  </si>
  <si>
    <t>박은섭</t>
    <phoneticPr fontId="1" type="noConversion"/>
  </si>
  <si>
    <t>(740112-1)</t>
  </si>
  <si>
    <t>기준</t>
    <phoneticPr fontId="1" type="noConversion"/>
  </si>
  <si>
    <t>2024.06.30</t>
    <phoneticPr fontId="1" type="noConversion"/>
  </si>
  <si>
    <t>단위</t>
    <phoneticPr fontId="1" type="noConversion"/>
  </si>
  <si>
    <t>백만원</t>
    <phoneticPr fontId="1" type="noConversion"/>
  </si>
  <si>
    <t>%</t>
    <phoneticPr fontId="1" type="noConversion"/>
  </si>
  <si>
    <t>2024.06.30.</t>
    <phoneticPr fontId="1" type="noConversion"/>
  </si>
  <si>
    <t>취급년도</t>
    <phoneticPr fontId="1" type="noConversion"/>
  </si>
  <si>
    <t>소 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</si>
</sst>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
  </numFmts>
  <fonts count="3" x14ac:knownFonts="1">
    <font>
      <sz val="11"/>
      <color theme="1"/>
      <name val="맑은 고딕"/>
      <family val="2"/>
      <scheme val="minor"/>
    </font>
    <font>
      <sz val="8"/>
      <name val="맑은 고딕"/>
      <family val="3"/>
      <charset val="129"/>
      <scheme val="minor"/>
    </font>
    <font>
      <sz val="11"/>
      <color theme="1"/>
      <name val="맑은 고딕"/>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3">
    <xf numFmtId="0" fontId="0" fillId="0" borderId="0" xfId="0"/>
    <xf numFmtId="10" fontId="0" fillId="0" borderId="0" xfId="0" applyNumberFormat="1"/>
    <xf numFmtId="3" fontId="0" fillId="0" borderId="0" xfId="0" applyNumberFormat="1"/>
    <xf numFmtId="9" fontId="0" fillId="0" borderId="0" xfId="0" applyNumberFormat="1"/>
    <xf numFmtId="14" fontId="0" fillId="0" borderId="0" xfId="0" applyNumberFormat="1"/>
    <xf numFmtId="41" fontId="0" fillId="0" borderId="0" xfId="0" applyNumberFormat="1"/>
    <xf numFmtId="176" fontId="0" fillId="0" borderId="0" xfId="0" applyNumberFormat="1"/>
    <xf numFmtId="10" fontId="0" fillId="2" borderId="0" xfId="0" applyNumberFormat="1" applyFill="1"/>
    <xf numFmtId="10" fontId="0" fillId="0" borderId="0" xfId="1" applyNumberFormat="1" applyFont="1" applyAlignment="1">
      <alignment horizontal="right"/>
    </xf>
    <xf numFmtId="10" fontId="0" fillId="0" borderId="0" xfId="1" applyNumberFormat="1" applyFont="1" applyAlignment="1"/>
    <xf numFmtId="3" fontId="0" fillId="2" borderId="0" xfId="0" applyNumberFormat="1" applyFill="1"/>
    <xf numFmtId="176" fontId="0" fillId="0" borderId="0" xfId="1" applyNumberFormat="1" applyFont="1" applyAlignment="1"/>
    <xf numFmtId="10" fontId="0" fillId="2" borderId="0" xfId="1" applyNumberFormat="1" applyFont="1" applyFill="1" applyAlignment="1"/>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10" sqref="B10"/>
    </sheetView>
  </sheetViews>
  <sheetFormatPr defaultRowHeight="17" x14ac:dyDescent="0.45"/>
  <sheetData>
    <row r="1" spans="1:4" x14ac:dyDescent="0.45">
      <c r="A1" t="s">
        <v>0</v>
      </c>
    </row>
    <row r="3" spans="1:4" x14ac:dyDescent="0.45">
      <c r="A3" t="s">
        <v>1</v>
      </c>
      <c r="B3" t="s">
        <v>2</v>
      </c>
      <c r="C3" t="s">
        <v>3</v>
      </c>
      <c r="D3" t="s">
        <v>4</v>
      </c>
    </row>
    <row r="4" spans="1:4" x14ac:dyDescent="0.45">
      <c r="A4" t="s">
        <v>5</v>
      </c>
      <c r="B4" t="s">
        <v>6</v>
      </c>
      <c r="C4" t="s">
        <v>7</v>
      </c>
      <c r="D4" t="s">
        <v>8</v>
      </c>
    </row>
    <row r="5" spans="1:4" x14ac:dyDescent="0.45">
      <c r="A5" t="s">
        <v>9</v>
      </c>
      <c r="B5">
        <v>7.8E-2</v>
      </c>
      <c r="C5" t="s">
        <v>10</v>
      </c>
      <c r="D5" t="s">
        <v>11</v>
      </c>
    </row>
    <row r="6" spans="1:4" x14ac:dyDescent="0.45">
      <c r="A6" t="s">
        <v>12</v>
      </c>
      <c r="B6" t="s">
        <v>13</v>
      </c>
      <c r="C6" t="s">
        <v>14</v>
      </c>
      <c r="D6" t="s">
        <v>15</v>
      </c>
    </row>
    <row r="7" spans="1:4" x14ac:dyDescent="0.45">
      <c r="A7" t="s">
        <v>16</v>
      </c>
      <c r="B7" t="s">
        <v>17</v>
      </c>
      <c r="C7" t="s">
        <v>18</v>
      </c>
      <c r="D7">
        <v>0.01</v>
      </c>
    </row>
    <row r="8" spans="1:4" x14ac:dyDescent="0.45">
      <c r="A8" t="s">
        <v>19</v>
      </c>
      <c r="B8" t="s">
        <v>20</v>
      </c>
      <c r="C8" t="s">
        <v>21</v>
      </c>
      <c r="D8" t="s">
        <v>22</v>
      </c>
    </row>
    <row r="9" spans="1:4" x14ac:dyDescent="0.45">
      <c r="A9" t="s">
        <v>23</v>
      </c>
      <c r="B9" t="s">
        <v>24</v>
      </c>
    </row>
    <row r="10" spans="1:4" x14ac:dyDescent="0.45">
      <c r="A10" t="s">
        <v>25</v>
      </c>
      <c r="B10" t="s">
        <v>26</v>
      </c>
    </row>
    <row r="11" spans="1:4" x14ac:dyDescent="0.45">
      <c r="B11" t="s">
        <v>27</v>
      </c>
    </row>
    <row r="12" spans="1:4" x14ac:dyDescent="0.45">
      <c r="A12" t="s">
        <v>28</v>
      </c>
      <c r="B12" t="s">
        <v>29</v>
      </c>
    </row>
    <row r="13" spans="1:4" x14ac:dyDescent="0.45">
      <c r="B13" t="s">
        <v>30</v>
      </c>
    </row>
    <row r="14" spans="1:4" x14ac:dyDescent="0.45">
      <c r="B14" t="s">
        <v>31</v>
      </c>
    </row>
    <row r="15" spans="1:4" x14ac:dyDescent="0.45">
      <c r="B15" t="s">
        <v>32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election activeCell="B4" sqref="B4"/>
    </sheetView>
  </sheetViews>
  <sheetFormatPr defaultRowHeight="17" x14ac:dyDescent="0.45"/>
  <sheetData>
    <row r="1" spans="1:3" x14ac:dyDescent="0.45">
      <c r="A1" t="s">
        <v>356</v>
      </c>
      <c r="B1" t="s">
        <v>39</v>
      </c>
    </row>
    <row r="2" spans="1:3" x14ac:dyDescent="0.45">
      <c r="B2" t="s">
        <v>40</v>
      </c>
    </row>
    <row r="3" spans="1:3" x14ac:dyDescent="0.45">
      <c r="B3" t="s">
        <v>41</v>
      </c>
    </row>
    <row r="4" spans="1:3" x14ac:dyDescent="0.45">
      <c r="B4" t="s">
        <v>42</v>
      </c>
    </row>
    <row r="6" spans="1:3" x14ac:dyDescent="0.45">
      <c r="A6" t="s">
        <v>355</v>
      </c>
      <c r="B6" t="s">
        <v>43</v>
      </c>
    </row>
    <row r="7" spans="1:3" x14ac:dyDescent="0.45">
      <c r="B7" t="s">
        <v>44</v>
      </c>
    </row>
    <row r="10" spans="1:3" x14ac:dyDescent="0.45">
      <c r="A10" t="s">
        <v>357</v>
      </c>
      <c r="B10" t="s">
        <v>358</v>
      </c>
      <c r="C10" t="s">
        <v>359</v>
      </c>
    </row>
    <row r="11" spans="1:3" x14ac:dyDescent="0.45">
      <c r="B11" t="s">
        <v>360</v>
      </c>
      <c r="C11" t="s">
        <v>46</v>
      </c>
    </row>
    <row r="12" spans="1:3" x14ac:dyDescent="0.45">
      <c r="C12" t="s">
        <v>47</v>
      </c>
    </row>
    <row r="13" spans="1:3" x14ac:dyDescent="0.45">
      <c r="C13" t="s">
        <v>48</v>
      </c>
    </row>
    <row r="14" spans="1:3" x14ac:dyDescent="0.45">
      <c r="C14" t="s">
        <v>50</v>
      </c>
    </row>
    <row r="15" spans="1:3" x14ac:dyDescent="0.45">
      <c r="C15" t="s">
        <v>51</v>
      </c>
    </row>
    <row r="16" spans="1:3" x14ac:dyDescent="0.45">
      <c r="B16" t="s">
        <v>361</v>
      </c>
      <c r="C16" t="s">
        <v>49</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election activeCell="D3" sqref="D3"/>
    </sheetView>
  </sheetViews>
  <sheetFormatPr defaultRowHeight="17" x14ac:dyDescent="0.45"/>
  <sheetData>
    <row r="1" spans="1:4" x14ac:dyDescent="0.45">
      <c r="A1" t="s">
        <v>1</v>
      </c>
      <c r="B1" t="s">
        <v>2</v>
      </c>
      <c r="C1" t="s">
        <v>57</v>
      </c>
      <c r="D1" t="s">
        <v>58</v>
      </c>
    </row>
    <row r="2" spans="1:4" x14ac:dyDescent="0.45">
      <c r="A2" t="s">
        <v>59</v>
      </c>
      <c r="B2" t="s">
        <v>60</v>
      </c>
      <c r="C2" t="s">
        <v>61</v>
      </c>
      <c r="D2" t="s">
        <v>62</v>
      </c>
    </row>
    <row r="3" spans="1:4" x14ac:dyDescent="0.45">
      <c r="A3" t="s">
        <v>362</v>
      </c>
      <c r="B3" t="s">
        <v>64</v>
      </c>
      <c r="C3" t="s">
        <v>65</v>
      </c>
      <c r="D3" s="4">
        <v>41988</v>
      </c>
    </row>
    <row r="4" spans="1:4" x14ac:dyDescent="0.45">
      <c r="A4" t="s">
        <v>66</v>
      </c>
      <c r="B4" t="s">
        <v>36</v>
      </c>
      <c r="C4" t="s">
        <v>67</v>
      </c>
      <c r="D4" t="s">
        <v>38</v>
      </c>
    </row>
    <row r="5" spans="1:4" x14ac:dyDescent="0.45">
      <c r="A5" t="s">
        <v>68</v>
      </c>
      <c r="B5" t="s">
        <v>69</v>
      </c>
      <c r="C5" t="s">
        <v>70</v>
      </c>
      <c r="D5" t="s">
        <v>71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election activeCell="D13" sqref="D13"/>
    </sheetView>
  </sheetViews>
  <sheetFormatPr defaultRowHeight="17" x14ac:dyDescent="0.45"/>
  <cols>
    <col min="3" max="3" width="11.25" bestFit="1" customWidth="1"/>
  </cols>
  <sheetData>
    <row r="1" spans="1:6" x14ac:dyDescent="0.45">
      <c r="A1" t="s">
        <v>72</v>
      </c>
      <c r="B1" t="s">
        <v>73</v>
      </c>
      <c r="C1" t="s">
        <v>74</v>
      </c>
      <c r="D1" t="s">
        <v>75</v>
      </c>
      <c r="E1" t="s">
        <v>34</v>
      </c>
    </row>
    <row r="2" spans="1:6" x14ac:dyDescent="0.45">
      <c r="A2" t="s">
        <v>76</v>
      </c>
      <c r="B2">
        <v>73688</v>
      </c>
      <c r="C2">
        <v>368440000</v>
      </c>
      <c r="D2" s="3">
        <v>0.437</v>
      </c>
      <c r="E2" t="s">
        <v>77</v>
      </c>
      <c r="F2" s="1"/>
    </row>
    <row r="3" spans="1:6" x14ac:dyDescent="0.45">
      <c r="A3" t="s">
        <v>78</v>
      </c>
      <c r="B3">
        <v>48440</v>
      </c>
      <c r="C3">
        <v>242200000</v>
      </c>
      <c r="D3" s="3">
        <v>0.28799999999999998</v>
      </c>
      <c r="F3" s="1"/>
    </row>
    <row r="4" spans="1:6" x14ac:dyDescent="0.45">
      <c r="A4" t="s">
        <v>79</v>
      </c>
      <c r="B4">
        <v>46312</v>
      </c>
      <c r="C4">
        <v>231560000</v>
      </c>
      <c r="D4" s="3">
        <v>0.27500000000000002</v>
      </c>
      <c r="F4" s="1"/>
    </row>
    <row r="5" spans="1:6" x14ac:dyDescent="0.45">
      <c r="A5" t="s">
        <v>78</v>
      </c>
      <c r="B5">
        <v>60000</v>
      </c>
      <c r="C5">
        <v>300000000</v>
      </c>
      <c r="D5" t="s">
        <v>17</v>
      </c>
      <c r="E5" t="s">
        <v>80</v>
      </c>
      <c r="F5" s="1"/>
    </row>
    <row r="6" spans="1:6" x14ac:dyDescent="0.45">
      <c r="A6" t="s">
        <v>56</v>
      </c>
      <c r="B6">
        <v>228440</v>
      </c>
      <c r="C6">
        <v>1142200000</v>
      </c>
      <c r="D6" t="s">
        <v>17</v>
      </c>
      <c r="E6" t="s">
        <v>17</v>
      </c>
      <c r="F6" s="1"/>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F7" sqref="F7"/>
    </sheetView>
  </sheetViews>
  <sheetFormatPr defaultRowHeight="17" x14ac:dyDescent="0.45"/>
  <sheetData>
    <row r="1" spans="1:2" x14ac:dyDescent="0.45">
      <c r="A1" t="s">
        <v>358</v>
      </c>
      <c r="B1" t="s">
        <v>363</v>
      </c>
    </row>
    <row r="2" spans="1:2" x14ac:dyDescent="0.45">
      <c r="A2" t="s">
        <v>45</v>
      </c>
      <c r="B2" t="s">
        <v>81</v>
      </c>
    </row>
    <row r="3" spans="1:2" x14ac:dyDescent="0.45">
      <c r="B3" t="s">
        <v>82</v>
      </c>
    </row>
    <row r="4" spans="1:2" x14ac:dyDescent="0.45">
      <c r="B4" t="s">
        <v>83</v>
      </c>
    </row>
    <row r="5" spans="1:2" x14ac:dyDescent="0.45">
      <c r="B5" t="s">
        <v>84</v>
      </c>
    </row>
    <row r="6" spans="1:2" x14ac:dyDescent="0.45">
      <c r="A6" t="s">
        <v>361</v>
      </c>
      <c r="B6" t="s">
        <v>364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6"/>
  <sheetViews>
    <sheetView workbookViewId="0">
      <selection activeCell="I17" sqref="I17"/>
    </sheetView>
  </sheetViews>
  <sheetFormatPr defaultRowHeight="17" x14ac:dyDescent="0.45"/>
  <cols>
    <col min="2" max="2" width="8.6640625" customWidth="1"/>
  </cols>
  <sheetData>
    <row r="1" spans="1:5" x14ac:dyDescent="0.45">
      <c r="A1" t="s">
        <v>52</v>
      </c>
      <c r="B1" t="s">
        <v>85</v>
      </c>
      <c r="C1" t="s">
        <v>86</v>
      </c>
      <c r="D1">
        <v>2023.12</v>
      </c>
      <c r="E1">
        <v>2024.05</v>
      </c>
    </row>
    <row r="2" spans="1:5" x14ac:dyDescent="0.45">
      <c r="A2" t="s">
        <v>87</v>
      </c>
      <c r="B2" s="2">
        <v>189454</v>
      </c>
      <c r="C2" s="2">
        <v>171373</v>
      </c>
      <c r="D2" s="2">
        <v>143929</v>
      </c>
      <c r="E2" s="2">
        <v>63173</v>
      </c>
    </row>
    <row r="3" spans="1:5" x14ac:dyDescent="0.45">
      <c r="A3" t="s">
        <v>88</v>
      </c>
      <c r="B3" s="2">
        <v>4679</v>
      </c>
      <c r="C3" s="2">
        <v>1379</v>
      </c>
      <c r="D3" s="2">
        <v>2860</v>
      </c>
      <c r="E3" s="2">
        <v>2036</v>
      </c>
    </row>
    <row r="4" spans="1:5" x14ac:dyDescent="0.45">
      <c r="A4" t="s">
        <v>37</v>
      </c>
      <c r="B4" s="2">
        <f>B5+B6</f>
        <v>173904</v>
      </c>
      <c r="C4" s="2">
        <f>C5+C6</f>
        <v>144699</v>
      </c>
      <c r="D4" s="2">
        <f>D5+D6</f>
        <v>113815</v>
      </c>
      <c r="E4" s="2">
        <f>E5+E6</f>
        <v>35456</v>
      </c>
    </row>
    <row r="5" spans="1:5" x14ac:dyDescent="0.45">
      <c r="A5" t="s">
        <v>89</v>
      </c>
      <c r="B5" s="2">
        <v>182577</v>
      </c>
      <c r="C5" s="2">
        <v>152253</v>
      </c>
      <c r="D5" s="2">
        <v>119583</v>
      </c>
      <c r="E5" s="2">
        <v>43809</v>
      </c>
    </row>
    <row r="6" spans="1:5" x14ac:dyDescent="0.45">
      <c r="A6" t="s">
        <v>90</v>
      </c>
      <c r="B6" s="2">
        <v>-8673</v>
      </c>
      <c r="C6" s="2">
        <v>-7554</v>
      </c>
      <c r="D6" s="2">
        <v>-5768</v>
      </c>
      <c r="E6" s="2">
        <v>-8353</v>
      </c>
    </row>
    <row r="7" spans="1:5" x14ac:dyDescent="0.45">
      <c r="A7" t="s">
        <v>91</v>
      </c>
      <c r="B7" s="2">
        <v>10871</v>
      </c>
      <c r="C7" s="2">
        <v>25295</v>
      </c>
      <c r="D7" s="2">
        <v>27254</v>
      </c>
      <c r="E7" s="2">
        <v>25681</v>
      </c>
    </row>
    <row r="8" spans="1:5" x14ac:dyDescent="0.45">
      <c r="A8" t="s">
        <v>92</v>
      </c>
      <c r="B8" s="2">
        <f>SUM(B9:B10)</f>
        <v>168842</v>
      </c>
      <c r="C8" s="2">
        <f>SUM(C9:C10)</f>
        <v>148311</v>
      </c>
      <c r="D8" s="2">
        <f>SUM(D9:D10)</f>
        <v>120725</v>
      </c>
      <c r="E8" s="2">
        <f>SUM(E9:E10)</f>
        <v>41224</v>
      </c>
    </row>
    <row r="9" spans="1:5" x14ac:dyDescent="0.45">
      <c r="A9" t="s">
        <v>93</v>
      </c>
      <c r="B9" s="2">
        <v>165498</v>
      </c>
      <c r="C9" s="2">
        <v>146055</v>
      </c>
      <c r="D9" s="2">
        <v>118567</v>
      </c>
      <c r="E9" s="2">
        <v>40057</v>
      </c>
    </row>
    <row r="10" spans="1:5" x14ac:dyDescent="0.45">
      <c r="A10" t="s">
        <v>94</v>
      </c>
      <c r="B10" s="2">
        <v>3344</v>
      </c>
      <c r="C10" s="2">
        <v>2256</v>
      </c>
      <c r="D10" s="2">
        <v>2158</v>
      </c>
      <c r="E10" s="2">
        <v>1167</v>
      </c>
    </row>
    <row r="11" spans="1:5" x14ac:dyDescent="0.45">
      <c r="A11" t="s">
        <v>95</v>
      </c>
      <c r="B11" s="2">
        <f>SUM(B12:B14)</f>
        <v>20612</v>
      </c>
      <c r="C11" s="2">
        <f>SUM(C12:C14)</f>
        <v>23062</v>
      </c>
      <c r="D11" s="2">
        <f>SUM(D12:D14)</f>
        <v>23204</v>
      </c>
      <c r="E11" s="2">
        <f>SUM(E12:E14)</f>
        <v>21949</v>
      </c>
    </row>
    <row r="12" spans="1:5" x14ac:dyDescent="0.45">
      <c r="A12" t="s">
        <v>35</v>
      </c>
      <c r="B12" s="2">
        <v>1142</v>
      </c>
      <c r="C12" s="2">
        <v>1142</v>
      </c>
      <c r="D12" s="2">
        <v>1142</v>
      </c>
      <c r="E12" s="2">
        <v>1142</v>
      </c>
    </row>
    <row r="13" spans="1:5" x14ac:dyDescent="0.45">
      <c r="A13" t="s">
        <v>96</v>
      </c>
      <c r="B13" s="2">
        <v>2694</v>
      </c>
      <c r="C13" s="2">
        <v>2694</v>
      </c>
      <c r="D13" s="2">
        <v>2694</v>
      </c>
      <c r="E13" s="2">
        <v>2694</v>
      </c>
    </row>
    <row r="14" spans="1:5" x14ac:dyDescent="0.45">
      <c r="A14" t="s">
        <v>97</v>
      </c>
      <c r="B14" s="2">
        <v>16776</v>
      </c>
      <c r="C14" s="2">
        <v>19226</v>
      </c>
      <c r="D14" s="2">
        <v>19368</v>
      </c>
      <c r="E14" s="2">
        <v>18113</v>
      </c>
    </row>
    <row r="15" spans="1:5" x14ac:dyDescent="0.45">
      <c r="A15" t="s">
        <v>98</v>
      </c>
      <c r="B15" s="5">
        <f>B2-B8-B11</f>
        <v>0</v>
      </c>
      <c r="C15" s="5">
        <f>C2-C8-C11</f>
        <v>0</v>
      </c>
      <c r="D15" s="5">
        <f>D2-D8-D11</f>
        <v>0</v>
      </c>
      <c r="E15" s="5">
        <f>E2-E8-E11</f>
        <v>0</v>
      </c>
    </row>
    <row r="16" spans="1:5" x14ac:dyDescent="0.45">
      <c r="B16" s="2"/>
      <c r="C16" s="2"/>
      <c r="D16" s="2"/>
      <c r="E16" s="5"/>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election activeCell="E11" sqref="E11"/>
    </sheetView>
  </sheetViews>
  <sheetFormatPr defaultRowHeight="17" x14ac:dyDescent="0.45"/>
  <sheetData>
    <row r="1" spans="1:5" x14ac:dyDescent="0.45">
      <c r="A1" t="s">
        <v>52</v>
      </c>
      <c r="B1" t="s">
        <v>85</v>
      </c>
      <c r="C1" t="s">
        <v>86</v>
      </c>
      <c r="D1">
        <v>2023.12</v>
      </c>
      <c r="E1">
        <v>2024.05</v>
      </c>
    </row>
    <row r="2" spans="1:5" x14ac:dyDescent="0.45">
      <c r="A2" t="s">
        <v>99</v>
      </c>
      <c r="B2" s="5">
        <f>SUM(B3:B4)</f>
        <v>34077</v>
      </c>
      <c r="C2" s="5">
        <f>SUM(C3:C4)</f>
        <v>33636</v>
      </c>
      <c r="D2" s="5">
        <f>SUM(D3:D4)</f>
        <v>24790</v>
      </c>
      <c r="E2" s="5">
        <f>SUM(E3:E4)</f>
        <v>5539</v>
      </c>
    </row>
    <row r="3" spans="1:5" x14ac:dyDescent="0.45">
      <c r="A3" t="s">
        <v>100</v>
      </c>
      <c r="B3" s="5">
        <v>31360</v>
      </c>
      <c r="C3" s="5">
        <v>30944</v>
      </c>
      <c r="D3" s="5">
        <v>23177</v>
      </c>
      <c r="E3" s="5">
        <v>3887</v>
      </c>
    </row>
    <row r="4" spans="1:5" x14ac:dyDescent="0.45">
      <c r="A4" t="s">
        <v>101</v>
      </c>
      <c r="B4" s="5">
        <v>2717</v>
      </c>
      <c r="C4" s="5">
        <v>2692</v>
      </c>
      <c r="D4" s="5">
        <v>1613</v>
      </c>
      <c r="E4" s="5">
        <v>1652</v>
      </c>
    </row>
    <row r="5" spans="1:5" x14ac:dyDescent="0.45">
      <c r="A5" t="s">
        <v>102</v>
      </c>
      <c r="B5" s="5">
        <f>SUM(B6:B10)</f>
        <v>27279</v>
      </c>
      <c r="C5" s="5">
        <f>SUM(C6:C10)</f>
        <v>28572</v>
      </c>
      <c r="D5" s="5">
        <f>SUM(D6:D10)</f>
        <v>24474</v>
      </c>
      <c r="E5" s="5">
        <f>SUM(E6:E10)</f>
        <v>6877</v>
      </c>
    </row>
    <row r="6" spans="1:5" x14ac:dyDescent="0.45">
      <c r="A6" t="s">
        <v>103</v>
      </c>
      <c r="B6" s="5">
        <v>9544</v>
      </c>
      <c r="C6" s="5">
        <v>10396</v>
      </c>
      <c r="D6" s="5">
        <v>9588</v>
      </c>
      <c r="E6" s="5">
        <v>1680</v>
      </c>
    </row>
    <row r="7" spans="1:5" x14ac:dyDescent="0.45">
      <c r="A7" t="s">
        <v>104</v>
      </c>
      <c r="B7" s="5">
        <v>6442</v>
      </c>
      <c r="C7" s="5">
        <v>9187</v>
      </c>
      <c r="D7" s="5">
        <v>8900</v>
      </c>
      <c r="E7" s="5">
        <v>2643</v>
      </c>
    </row>
    <row r="8" spans="1:5" x14ac:dyDescent="0.45">
      <c r="A8" t="s">
        <v>105</v>
      </c>
      <c r="B8" s="5" t="s">
        <v>17</v>
      </c>
      <c r="C8" s="5" t="s">
        <v>17</v>
      </c>
      <c r="D8" s="5" t="s">
        <v>17</v>
      </c>
      <c r="E8" s="5" t="s">
        <v>17</v>
      </c>
    </row>
    <row r="9" spans="1:5" x14ac:dyDescent="0.45">
      <c r="A9" t="s">
        <v>106</v>
      </c>
      <c r="B9" s="5">
        <v>5765</v>
      </c>
      <c r="C9" s="5">
        <v>6456</v>
      </c>
      <c r="D9" s="5">
        <v>5239</v>
      </c>
      <c r="E9" s="5">
        <v>2259</v>
      </c>
    </row>
    <row r="10" spans="1:5" x14ac:dyDescent="0.45">
      <c r="A10" t="s">
        <v>107</v>
      </c>
      <c r="B10" s="5">
        <v>5528</v>
      </c>
      <c r="C10" s="5">
        <v>2533</v>
      </c>
      <c r="D10" s="5">
        <v>747</v>
      </c>
      <c r="E10" s="5">
        <v>295</v>
      </c>
    </row>
    <row r="11" spans="1:5" x14ac:dyDescent="0.45">
      <c r="A11" t="s">
        <v>108</v>
      </c>
      <c r="B11" s="5">
        <f>B2-B5</f>
        <v>6798</v>
      </c>
      <c r="C11" s="5">
        <f>C2-C5</f>
        <v>5064</v>
      </c>
      <c r="D11" s="5">
        <f>D2-D5</f>
        <v>316</v>
      </c>
      <c r="E11" s="5">
        <f>E2-E5</f>
        <v>-1338</v>
      </c>
    </row>
    <row r="12" spans="1:5" x14ac:dyDescent="0.45">
      <c r="A12" t="s">
        <v>109</v>
      </c>
      <c r="B12" s="5">
        <v>48</v>
      </c>
      <c r="C12" s="5">
        <v>155</v>
      </c>
      <c r="D12" s="5">
        <v>120</v>
      </c>
      <c r="E12" s="5">
        <v>83</v>
      </c>
    </row>
    <row r="13" spans="1:5" x14ac:dyDescent="0.45">
      <c r="A13" t="s">
        <v>110</v>
      </c>
      <c r="B13" s="5">
        <v>6847</v>
      </c>
      <c r="C13" s="5">
        <v>5220</v>
      </c>
      <c r="D13" s="5">
        <v>435</v>
      </c>
      <c r="E13" s="5">
        <v>-1254</v>
      </c>
    </row>
    <row r="14" spans="1:5" x14ac:dyDescent="0.45">
      <c r="A14" t="s">
        <v>111</v>
      </c>
      <c r="B14" s="5"/>
      <c r="C14" s="5"/>
      <c r="D14" s="5"/>
      <c r="E14" s="5"/>
    </row>
    <row r="15" spans="1:5" x14ac:dyDescent="0.45">
      <c r="A15" t="s">
        <v>112</v>
      </c>
      <c r="B15" s="5">
        <v>5391</v>
      </c>
      <c r="C15" s="5">
        <v>4044</v>
      </c>
      <c r="D15" s="5">
        <v>142</v>
      </c>
      <c r="E15" s="5">
        <v>-1254</v>
      </c>
    </row>
    <row r="16" spans="1:5" x14ac:dyDescent="0.45">
      <c r="A16" t="s">
        <v>113</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workbookViewId="0"/>
  </sheetViews>
  <sheetFormatPr defaultRowHeight="17" x14ac:dyDescent="0.45"/>
  <sheetData>
    <row r="1" spans="1:3" x14ac:dyDescent="0.45">
      <c r="A1" t="s">
        <v>33</v>
      </c>
      <c r="B1" s="5" t="s">
        <v>143</v>
      </c>
      <c r="C1" t="s">
        <v>144</v>
      </c>
    </row>
    <row r="2" spans="1:3" x14ac:dyDescent="0.45">
      <c r="A2" t="s">
        <v>145</v>
      </c>
      <c r="B2" s="5">
        <v>17090</v>
      </c>
      <c r="C2" s="6">
        <f>B2/B7</f>
        <v>0.39341620626151014</v>
      </c>
    </row>
    <row r="3" spans="1:3" x14ac:dyDescent="0.45">
      <c r="A3" t="s">
        <v>146</v>
      </c>
      <c r="B3" s="5">
        <v>2622</v>
      </c>
      <c r="C3" s="6">
        <f>B3/B7</f>
        <v>6.0359116022099445E-2</v>
      </c>
    </row>
    <row r="4" spans="1:3" x14ac:dyDescent="0.45">
      <c r="A4" t="s">
        <v>147</v>
      </c>
      <c r="B4" s="5">
        <v>2500</v>
      </c>
      <c r="C4" s="6">
        <f>B4/B7</f>
        <v>5.7550644567219152E-2</v>
      </c>
    </row>
    <row r="5" spans="1:3" x14ac:dyDescent="0.45">
      <c r="A5" t="s">
        <v>148</v>
      </c>
      <c r="B5" s="5">
        <v>3042</v>
      </c>
      <c r="C5" s="6">
        <f>B5/B7</f>
        <v>7.0027624309392258E-2</v>
      </c>
    </row>
    <row r="6" spans="1:3" x14ac:dyDescent="0.45">
      <c r="A6" t="s">
        <v>149</v>
      </c>
      <c r="B6" s="5">
        <v>18186</v>
      </c>
      <c r="C6" s="6">
        <f>B6/B7</f>
        <v>0.41864640883977899</v>
      </c>
    </row>
    <row r="7" spans="1:3" x14ac:dyDescent="0.45">
      <c r="A7" t="s">
        <v>56</v>
      </c>
      <c r="B7" s="5">
        <f>SUM(B2:B6)</f>
        <v>43440</v>
      </c>
      <c r="C7" s="6">
        <f>SUM(C2:C6)</f>
        <v>1</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8"/>
  <sheetViews>
    <sheetView workbookViewId="0">
      <selection activeCell="A5" sqref="A5"/>
    </sheetView>
  </sheetViews>
  <sheetFormatPr defaultRowHeight="17" x14ac:dyDescent="0.45"/>
  <sheetData>
    <row r="1" spans="1:6" x14ac:dyDescent="0.45">
      <c r="A1" t="s">
        <v>150</v>
      </c>
      <c r="B1" t="s">
        <v>151</v>
      </c>
      <c r="C1" t="s">
        <v>152</v>
      </c>
      <c r="D1" t="s">
        <v>153</v>
      </c>
      <c r="E1" t="s">
        <v>10</v>
      </c>
      <c r="F1" t="s">
        <v>23</v>
      </c>
    </row>
    <row r="2" spans="1:6" x14ac:dyDescent="0.45">
      <c r="A2" t="s">
        <v>154</v>
      </c>
      <c r="B2" t="s">
        <v>155</v>
      </c>
      <c r="C2" t="s">
        <v>156</v>
      </c>
      <c r="D2" s="3">
        <v>0.2</v>
      </c>
      <c r="E2" t="s">
        <v>157</v>
      </c>
      <c r="F2" t="s">
        <v>158</v>
      </c>
    </row>
    <row r="3" spans="1:6" x14ac:dyDescent="0.45">
      <c r="A3" t="s">
        <v>159</v>
      </c>
      <c r="B3" t="s">
        <v>160</v>
      </c>
      <c r="C3" t="s">
        <v>161</v>
      </c>
      <c r="D3" s="3">
        <v>0.19</v>
      </c>
      <c r="E3" t="s">
        <v>162</v>
      </c>
      <c r="F3" t="s">
        <v>163</v>
      </c>
    </row>
    <row r="4" spans="1:6" x14ac:dyDescent="0.45">
      <c r="A4" t="s">
        <v>164</v>
      </c>
      <c r="B4" t="s">
        <v>165</v>
      </c>
      <c r="C4" t="s">
        <v>166</v>
      </c>
      <c r="D4" s="3" t="s">
        <v>167</v>
      </c>
      <c r="E4" t="s">
        <v>162</v>
      </c>
      <c r="F4" t="s">
        <v>168</v>
      </c>
    </row>
    <row r="5" spans="1:6" x14ac:dyDescent="0.45">
      <c r="A5" t="s">
        <v>169</v>
      </c>
      <c r="B5" s="5"/>
      <c r="C5" s="5"/>
      <c r="D5" s="5"/>
      <c r="E5" s="5"/>
    </row>
    <row r="6" spans="1:6" x14ac:dyDescent="0.45">
      <c r="B6" s="5"/>
      <c r="C6" s="5"/>
      <c r="D6" s="5"/>
      <c r="E6" s="5"/>
    </row>
    <row r="7" spans="1:6" x14ac:dyDescent="0.45">
      <c r="B7" s="5"/>
      <c r="C7" s="5"/>
      <c r="D7" s="5"/>
      <c r="E7" s="5"/>
    </row>
    <row r="8" spans="1:6" x14ac:dyDescent="0.45">
      <c r="B8" s="5"/>
      <c r="C8" s="5"/>
      <c r="D8" s="5"/>
      <c r="E8" s="5"/>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7"/>
  <sheetViews>
    <sheetView workbookViewId="0">
      <selection activeCell="C12" sqref="C12"/>
    </sheetView>
  </sheetViews>
  <sheetFormatPr defaultRowHeight="17" x14ac:dyDescent="0.45"/>
  <sheetData>
    <row r="1" spans="1:5" x14ac:dyDescent="0.45">
      <c r="A1" t="s">
        <v>365</v>
      </c>
      <c r="B1" s="5" t="s">
        <v>366</v>
      </c>
      <c r="D1" s="5"/>
      <c r="E1" s="5"/>
    </row>
    <row r="2" spans="1:5" x14ac:dyDescent="0.45">
      <c r="A2" t="s">
        <v>367</v>
      </c>
      <c r="B2" t="s">
        <v>368</v>
      </c>
      <c r="D2" s="5"/>
      <c r="E2" s="5"/>
    </row>
    <row r="3" spans="1:5" x14ac:dyDescent="0.45">
      <c r="A3" t="s">
        <v>33</v>
      </c>
      <c r="B3" s="5" t="s">
        <v>143</v>
      </c>
      <c r="C3" t="s">
        <v>170</v>
      </c>
    </row>
    <row r="4" spans="1:5" x14ac:dyDescent="0.45">
      <c r="A4" t="s">
        <v>171</v>
      </c>
      <c r="B4" s="5">
        <v>15091</v>
      </c>
      <c r="C4" s="6">
        <f>B4/B6</f>
        <v>0.34447259695496357</v>
      </c>
    </row>
    <row r="5" spans="1:5" x14ac:dyDescent="0.45">
      <c r="A5" t="s">
        <v>154</v>
      </c>
      <c r="B5" s="5">
        <v>28718</v>
      </c>
      <c r="C5" s="6">
        <f>B5/B6</f>
        <v>0.65552740304503643</v>
      </c>
    </row>
    <row r="6" spans="1:5" x14ac:dyDescent="0.45">
      <c r="A6" t="s">
        <v>56</v>
      </c>
      <c r="B6" s="5">
        <f>SUM(B4:B5)</f>
        <v>43809</v>
      </c>
      <c r="C6" s="3">
        <f>SUM(C4:C5)</f>
        <v>1</v>
      </c>
    </row>
    <row r="7" spans="1:5" x14ac:dyDescent="0.45">
      <c r="A7" t="s">
        <v>172</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
  <sheetViews>
    <sheetView workbookViewId="0">
      <selection activeCell="A11" sqref="A11"/>
    </sheetView>
  </sheetViews>
  <sheetFormatPr defaultRowHeight="17" x14ac:dyDescent="0.45"/>
  <sheetData>
    <row r="1" spans="1:13" x14ac:dyDescent="0.45">
      <c r="A1" t="s">
        <v>367</v>
      </c>
      <c r="B1" t="s">
        <v>368</v>
      </c>
    </row>
    <row r="2" spans="1:13" x14ac:dyDescent="0.45">
      <c r="A2" t="s">
        <v>33</v>
      </c>
      <c r="B2">
        <v>23.06</v>
      </c>
      <c r="C2">
        <v>23.07</v>
      </c>
      <c r="D2">
        <v>23.08</v>
      </c>
      <c r="E2">
        <v>23.09</v>
      </c>
      <c r="F2">
        <v>23.1</v>
      </c>
      <c r="G2">
        <v>23.11</v>
      </c>
      <c r="H2">
        <v>23.12</v>
      </c>
      <c r="I2">
        <v>24.01</v>
      </c>
      <c r="J2">
        <v>24.02</v>
      </c>
      <c r="K2">
        <v>24.03</v>
      </c>
      <c r="L2">
        <v>24.04</v>
      </c>
      <c r="M2">
        <v>24.05</v>
      </c>
    </row>
    <row r="3" spans="1:13" x14ac:dyDescent="0.45">
      <c r="A3" t="s">
        <v>87</v>
      </c>
      <c r="B3">
        <v>164166</v>
      </c>
      <c r="C3">
        <v>160214</v>
      </c>
      <c r="D3">
        <v>155085</v>
      </c>
      <c r="E3">
        <v>150791</v>
      </c>
      <c r="F3">
        <v>148667</v>
      </c>
      <c r="G3">
        <v>145731</v>
      </c>
      <c r="H3" s="5">
        <v>143929</v>
      </c>
      <c r="I3">
        <v>129191</v>
      </c>
      <c r="J3">
        <v>72763</v>
      </c>
      <c r="K3">
        <v>65338</v>
      </c>
      <c r="L3">
        <v>63773</v>
      </c>
      <c r="M3">
        <v>63174</v>
      </c>
    </row>
    <row r="4" spans="1:13" x14ac:dyDescent="0.45">
      <c r="A4" t="s">
        <v>92</v>
      </c>
      <c r="B4">
        <v>140699</v>
      </c>
      <c r="C4">
        <v>136637</v>
      </c>
      <c r="D4">
        <v>131636</v>
      </c>
      <c r="E4">
        <v>127573</v>
      </c>
      <c r="F4">
        <v>125284</v>
      </c>
      <c r="G4">
        <v>122263</v>
      </c>
      <c r="H4" s="5">
        <v>120725</v>
      </c>
      <c r="I4">
        <v>105518</v>
      </c>
      <c r="J4">
        <v>49140</v>
      </c>
      <c r="K4">
        <v>42608</v>
      </c>
      <c r="L4">
        <v>41703</v>
      </c>
      <c r="M4">
        <v>41224</v>
      </c>
    </row>
    <row r="5" spans="1:13" x14ac:dyDescent="0.45">
      <c r="A5" t="s">
        <v>95</v>
      </c>
      <c r="B5">
        <v>23467</v>
      </c>
      <c r="C5">
        <v>23576</v>
      </c>
      <c r="D5">
        <v>23449</v>
      </c>
      <c r="E5">
        <v>23219</v>
      </c>
      <c r="F5">
        <v>23383</v>
      </c>
      <c r="G5">
        <v>23468</v>
      </c>
      <c r="H5" s="5">
        <v>23204</v>
      </c>
      <c r="I5">
        <v>23673</v>
      </c>
      <c r="J5">
        <v>23623</v>
      </c>
      <c r="K5">
        <v>22730</v>
      </c>
      <c r="L5">
        <v>22069</v>
      </c>
      <c r="M5">
        <v>21950</v>
      </c>
    </row>
    <row r="6" spans="1:13" x14ac:dyDescent="0.45">
      <c r="A6" t="s">
        <v>173</v>
      </c>
      <c r="B6">
        <v>1142</v>
      </c>
      <c r="C6">
        <v>1142</v>
      </c>
      <c r="D6">
        <v>1142</v>
      </c>
      <c r="E6">
        <v>1142</v>
      </c>
      <c r="F6">
        <v>1142</v>
      </c>
      <c r="G6">
        <v>1142</v>
      </c>
      <c r="H6" s="5">
        <v>1142</v>
      </c>
      <c r="I6">
        <v>1142</v>
      </c>
      <c r="J6">
        <v>1142</v>
      </c>
      <c r="K6">
        <v>1142</v>
      </c>
      <c r="L6">
        <v>1142</v>
      </c>
      <c r="M6">
        <v>1142</v>
      </c>
    </row>
    <row r="7" spans="1:13" x14ac:dyDescent="0.45">
      <c r="A7" t="s">
        <v>96</v>
      </c>
      <c r="B7">
        <v>2694</v>
      </c>
      <c r="C7">
        <v>2694</v>
      </c>
      <c r="D7">
        <v>2694</v>
      </c>
      <c r="E7">
        <v>2694</v>
      </c>
      <c r="F7">
        <v>2694</v>
      </c>
      <c r="G7">
        <v>2694</v>
      </c>
      <c r="H7" s="5">
        <v>2694</v>
      </c>
      <c r="I7">
        <v>2694</v>
      </c>
      <c r="J7">
        <v>2694</v>
      </c>
      <c r="K7">
        <v>2694</v>
      </c>
      <c r="L7">
        <v>2694</v>
      </c>
      <c r="M7">
        <v>2694</v>
      </c>
    </row>
    <row r="8" spans="1:13" x14ac:dyDescent="0.45">
      <c r="A8" t="s">
        <v>174</v>
      </c>
      <c r="B8">
        <v>405</v>
      </c>
      <c r="C8">
        <v>515</v>
      </c>
      <c r="D8">
        <v>387</v>
      </c>
      <c r="E8">
        <v>157</v>
      </c>
      <c r="F8">
        <v>321</v>
      </c>
      <c r="G8">
        <v>406</v>
      </c>
      <c r="H8" s="5">
        <v>142</v>
      </c>
      <c r="I8">
        <v>469</v>
      </c>
      <c r="J8">
        <v>419</v>
      </c>
      <c r="K8">
        <v>-474</v>
      </c>
      <c r="L8">
        <v>-1135</v>
      </c>
      <c r="M8">
        <v>-1254</v>
      </c>
    </row>
    <row r="9" spans="1:13" x14ac:dyDescent="0.45">
      <c r="A9" t="s">
        <v>175</v>
      </c>
      <c r="B9">
        <v>868</v>
      </c>
      <c r="C9">
        <v>427</v>
      </c>
      <c r="D9">
        <v>265</v>
      </c>
      <c r="E9">
        <v>536</v>
      </c>
      <c r="F9">
        <v>144</v>
      </c>
      <c r="G9">
        <v>472</v>
      </c>
      <c r="H9" s="5">
        <v>414</v>
      </c>
      <c r="I9">
        <v>198</v>
      </c>
      <c r="J9">
        <v>102</v>
      </c>
      <c r="K9">
        <v>131</v>
      </c>
      <c r="L9">
        <v>178</v>
      </c>
      <c r="M9">
        <v>321</v>
      </c>
    </row>
    <row r="10" spans="1:13" x14ac:dyDescent="0.45">
      <c r="A10" t="s">
        <v>176</v>
      </c>
      <c r="B10">
        <v>6867</v>
      </c>
      <c r="C10">
        <v>3497</v>
      </c>
      <c r="D10">
        <v>940</v>
      </c>
      <c r="E10">
        <v>2513</v>
      </c>
      <c r="F10">
        <v>631</v>
      </c>
      <c r="G10">
        <v>2219</v>
      </c>
      <c r="H10" s="5">
        <v>2140</v>
      </c>
      <c r="I10">
        <v>1936</v>
      </c>
      <c r="J10">
        <v>5211</v>
      </c>
      <c r="K10">
        <v>10529</v>
      </c>
      <c r="L10">
        <v>3970</v>
      </c>
      <c r="M10">
        <v>5223</v>
      </c>
    </row>
    <row r="11" spans="1:13" x14ac:dyDescent="0.45">
      <c r="A11" t="s">
        <v>177</v>
      </c>
      <c r="B11">
        <v>18626</v>
      </c>
      <c r="C11">
        <v>17188</v>
      </c>
      <c r="D11">
        <v>16874</v>
      </c>
      <c r="E11">
        <v>16971</v>
      </c>
      <c r="F11">
        <v>16490</v>
      </c>
      <c r="G11">
        <v>16496</v>
      </c>
      <c r="H11" s="5">
        <v>15705</v>
      </c>
      <c r="I11">
        <v>11793</v>
      </c>
      <c r="J11">
        <v>2499</v>
      </c>
      <c r="K11">
        <v>2454</v>
      </c>
      <c r="L11">
        <v>2579</v>
      </c>
      <c r="M11">
        <v>2851</v>
      </c>
    </row>
    <row r="12" spans="1:13" x14ac:dyDescent="0.45">
      <c r="A12" t="s">
        <v>89</v>
      </c>
      <c r="B12">
        <v>148454</v>
      </c>
      <c r="C12">
        <v>140088</v>
      </c>
      <c r="D12">
        <v>135525</v>
      </c>
      <c r="E12">
        <v>132827</v>
      </c>
      <c r="F12">
        <v>128109</v>
      </c>
      <c r="G12">
        <v>126387</v>
      </c>
      <c r="H12" s="5">
        <v>119583</v>
      </c>
      <c r="I12">
        <v>97581</v>
      </c>
      <c r="J12">
        <v>48693</v>
      </c>
      <c r="K12">
        <v>44294</v>
      </c>
      <c r="L12">
        <v>45625</v>
      </c>
      <c r="M12">
        <v>43809</v>
      </c>
    </row>
    <row r="13" spans="1:13" x14ac:dyDescent="0.45">
      <c r="A13" t="s">
        <v>178</v>
      </c>
      <c r="B13">
        <v>139235</v>
      </c>
      <c r="C13">
        <v>135230</v>
      </c>
      <c r="D13">
        <v>130273</v>
      </c>
      <c r="E13">
        <v>126159</v>
      </c>
      <c r="F13">
        <v>123913</v>
      </c>
      <c r="G13">
        <v>120874</v>
      </c>
      <c r="H13" s="5">
        <v>118566</v>
      </c>
      <c r="I13">
        <v>96870</v>
      </c>
      <c r="J13">
        <v>47634</v>
      </c>
      <c r="K13">
        <v>41475</v>
      </c>
      <c r="L13">
        <v>40518</v>
      </c>
      <c r="M13">
        <v>40057</v>
      </c>
    </row>
    <row r="14" spans="1:13" x14ac:dyDescent="0.45">
      <c r="A14" s="1"/>
      <c r="B14" s="1"/>
      <c r="C14" s="1"/>
      <c r="D14" s="1"/>
      <c r="E14" s="1"/>
    </row>
    <row r="15" spans="1:13" x14ac:dyDescent="0.45">
      <c r="A15" s="1"/>
      <c r="B15" s="1"/>
      <c r="C15" s="1"/>
      <c r="D15" s="1"/>
      <c r="E15" s="1"/>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workbookViewId="0">
      <selection activeCell="I5" sqref="I5"/>
    </sheetView>
  </sheetViews>
  <sheetFormatPr defaultRowHeight="17" x14ac:dyDescent="0.45"/>
  <sheetData>
    <row r="1" spans="1:14" x14ac:dyDescent="0.45">
      <c r="A1" t="s">
        <v>367</v>
      </c>
      <c r="B1" t="s">
        <v>368</v>
      </c>
    </row>
    <row r="2" spans="1:14" x14ac:dyDescent="0.45">
      <c r="A2" t="s">
        <v>33</v>
      </c>
      <c r="C2" s="5">
        <v>23.06</v>
      </c>
      <c r="D2" s="5">
        <v>23.07</v>
      </c>
      <c r="E2" s="5">
        <v>23.08</v>
      </c>
      <c r="F2" s="5">
        <v>23.09</v>
      </c>
      <c r="G2" s="5">
        <v>23.1</v>
      </c>
      <c r="H2" s="5">
        <v>23.11</v>
      </c>
      <c r="I2" s="5">
        <v>23.12</v>
      </c>
      <c r="J2" s="5">
        <v>24.01</v>
      </c>
      <c r="K2" s="5">
        <v>24.02</v>
      </c>
      <c r="L2" s="5">
        <v>24.03</v>
      </c>
      <c r="M2" s="5">
        <v>24.04</v>
      </c>
      <c r="N2" s="5">
        <v>24.05</v>
      </c>
    </row>
    <row r="3" spans="1:14" x14ac:dyDescent="0.45">
      <c r="A3" t="s">
        <v>179</v>
      </c>
      <c r="B3" t="s">
        <v>180</v>
      </c>
      <c r="C3" s="5">
        <v>3235</v>
      </c>
      <c r="D3" s="5">
        <v>1670</v>
      </c>
      <c r="E3" s="5">
        <v>495</v>
      </c>
      <c r="F3" s="5">
        <v>1566</v>
      </c>
      <c r="G3" s="5">
        <v>439</v>
      </c>
      <c r="H3" s="5">
        <v>1290</v>
      </c>
      <c r="I3" s="5">
        <v>890</v>
      </c>
      <c r="J3" s="5">
        <v>1063</v>
      </c>
      <c r="K3" s="5">
        <v>1597</v>
      </c>
      <c r="L3" s="5">
        <v>2369</v>
      </c>
      <c r="M3" s="5">
        <v>3278</v>
      </c>
      <c r="N3" s="5">
        <v>4056</v>
      </c>
    </row>
    <row r="4" spans="1:14" x14ac:dyDescent="0.45">
      <c r="B4" t="s">
        <v>181</v>
      </c>
      <c r="C4" s="5">
        <v>3632</v>
      </c>
      <c r="D4" s="5">
        <v>1827</v>
      </c>
      <c r="E4" s="5">
        <v>445</v>
      </c>
      <c r="F4" s="5">
        <v>947</v>
      </c>
      <c r="G4" s="5">
        <v>192</v>
      </c>
      <c r="H4" s="5">
        <v>929</v>
      </c>
      <c r="I4" s="5">
        <v>1250</v>
      </c>
      <c r="J4" s="5">
        <v>873</v>
      </c>
      <c r="K4" s="5">
        <v>3614</v>
      </c>
      <c r="L4" s="5">
        <v>8160</v>
      </c>
      <c r="M4" s="5">
        <v>692</v>
      </c>
      <c r="N4" s="5">
        <v>1167</v>
      </c>
    </row>
    <row r="5" spans="1:14" x14ac:dyDescent="0.45">
      <c r="B5" t="s">
        <v>372</v>
      </c>
      <c r="C5" s="5">
        <f t="shared" ref="C5:N5" si="0">SUM(C3:C4)</f>
        <v>6867</v>
      </c>
      <c r="D5" s="5">
        <f t="shared" si="0"/>
        <v>3497</v>
      </c>
      <c r="E5" s="5">
        <f t="shared" si="0"/>
        <v>940</v>
      </c>
      <c r="F5" s="5">
        <f t="shared" si="0"/>
        <v>2513</v>
      </c>
      <c r="G5" s="5">
        <f t="shared" si="0"/>
        <v>631</v>
      </c>
      <c r="H5" s="5">
        <f t="shared" si="0"/>
        <v>2219</v>
      </c>
      <c r="I5" s="5">
        <f t="shared" si="0"/>
        <v>2140</v>
      </c>
      <c r="J5" s="5">
        <f t="shared" si="0"/>
        <v>1936</v>
      </c>
      <c r="K5" s="5">
        <f t="shared" si="0"/>
        <v>5211</v>
      </c>
      <c r="L5" s="5">
        <f t="shared" si="0"/>
        <v>10529</v>
      </c>
      <c r="M5" s="5">
        <f t="shared" si="0"/>
        <v>3970</v>
      </c>
      <c r="N5" s="5">
        <f t="shared" si="0"/>
        <v>5223</v>
      </c>
    </row>
    <row r="6" spans="1:14" x14ac:dyDescent="0.45">
      <c r="A6" t="s">
        <v>182</v>
      </c>
      <c r="C6" s="5">
        <v>6498</v>
      </c>
      <c r="D6" s="5">
        <v>4236</v>
      </c>
      <c r="E6" s="5">
        <v>5161</v>
      </c>
      <c r="F6" s="5">
        <v>5190</v>
      </c>
      <c r="G6" s="5">
        <v>4429</v>
      </c>
      <c r="H6" s="5">
        <v>3901</v>
      </c>
      <c r="I6" s="5">
        <v>3859</v>
      </c>
      <c r="J6" s="5">
        <v>4764</v>
      </c>
      <c r="K6" s="5">
        <v>1963</v>
      </c>
      <c r="L6" s="5">
        <v>998</v>
      </c>
      <c r="M6" s="5">
        <v>2831</v>
      </c>
      <c r="N6" s="5">
        <v>7320</v>
      </c>
    </row>
    <row r="7" spans="1:14" x14ac:dyDescent="0.45">
      <c r="A7" t="s">
        <v>183</v>
      </c>
      <c r="C7" s="5">
        <v>2001</v>
      </c>
      <c r="D7" s="5">
        <v>1971</v>
      </c>
      <c r="E7" s="5">
        <v>1980</v>
      </c>
      <c r="F7" s="5">
        <v>1850</v>
      </c>
      <c r="G7" s="5">
        <v>1897</v>
      </c>
      <c r="H7" s="5">
        <v>1747</v>
      </c>
      <c r="I7" s="5">
        <v>1651</v>
      </c>
      <c r="J7" s="5">
        <v>1847</v>
      </c>
      <c r="K7" s="5">
        <v>936</v>
      </c>
      <c r="L7" s="5">
        <v>289</v>
      </c>
      <c r="M7" s="5">
        <v>384</v>
      </c>
      <c r="N7" s="5">
        <v>485</v>
      </c>
    </row>
    <row r="8" spans="1:14" x14ac:dyDescent="0.45">
      <c r="A8" t="s">
        <v>54</v>
      </c>
      <c r="C8" s="5">
        <v>148454</v>
      </c>
      <c r="D8" s="5">
        <v>140088</v>
      </c>
      <c r="E8" s="5">
        <v>135525</v>
      </c>
      <c r="F8" s="5">
        <v>132827</v>
      </c>
      <c r="G8" s="5">
        <v>128109</v>
      </c>
      <c r="H8" s="5">
        <v>126387</v>
      </c>
      <c r="I8" s="5">
        <v>119583</v>
      </c>
      <c r="J8" s="5">
        <v>97581</v>
      </c>
      <c r="K8" s="5">
        <v>48693</v>
      </c>
      <c r="L8" s="5">
        <v>44294</v>
      </c>
      <c r="M8" s="5">
        <v>45625</v>
      </c>
      <c r="N8" s="5">
        <v>43809</v>
      </c>
    </row>
    <row r="9" spans="1:14" x14ac:dyDescent="0.45">
      <c r="A9" t="s">
        <v>184</v>
      </c>
      <c r="C9" s="5">
        <v>34</v>
      </c>
      <c r="D9" s="5">
        <v>-8366</v>
      </c>
      <c r="E9" s="5">
        <v>-4563</v>
      </c>
      <c r="F9" s="5">
        <v>-2698</v>
      </c>
      <c r="G9" s="5">
        <v>-4718</v>
      </c>
      <c r="H9" s="5">
        <v>-1721</v>
      </c>
      <c r="I9" s="5">
        <v>-6804</v>
      </c>
      <c r="J9" s="5">
        <v>-22002</v>
      </c>
      <c r="K9" s="5">
        <v>-48888</v>
      </c>
      <c r="L9" s="5">
        <v>-4399</v>
      </c>
      <c r="M9" s="5">
        <v>1331</v>
      </c>
      <c r="N9" s="5">
        <v>-1815</v>
      </c>
    </row>
    <row r="10" spans="1:14" x14ac:dyDescent="0.45">
      <c r="A10" t="s">
        <v>185</v>
      </c>
      <c r="C10" s="5">
        <v>868</v>
      </c>
      <c r="D10" s="5">
        <v>427</v>
      </c>
      <c r="E10" s="5">
        <v>265</v>
      </c>
      <c r="F10" s="5">
        <v>536</v>
      </c>
      <c r="G10" s="5">
        <v>144</v>
      </c>
      <c r="H10" s="5">
        <v>472</v>
      </c>
      <c r="I10" s="5">
        <v>414</v>
      </c>
      <c r="J10" s="5">
        <v>198</v>
      </c>
      <c r="K10" s="5">
        <v>102</v>
      </c>
      <c r="L10" s="5">
        <v>131</v>
      </c>
      <c r="M10" s="5">
        <v>178</v>
      </c>
      <c r="N10" s="5">
        <v>321</v>
      </c>
    </row>
    <row r="11" spans="1:14" x14ac:dyDescent="0.45">
      <c r="A11" t="s">
        <v>186</v>
      </c>
      <c r="C11" s="5">
        <v>8</v>
      </c>
      <c r="D11" s="5">
        <v>8</v>
      </c>
      <c r="E11" s="5">
        <v>4</v>
      </c>
      <c r="F11" s="5">
        <v>5</v>
      </c>
      <c r="G11" s="5">
        <v>4</v>
      </c>
      <c r="H11" s="5">
        <v>5</v>
      </c>
      <c r="I11" s="5">
        <v>5</v>
      </c>
      <c r="J11" s="5">
        <v>10</v>
      </c>
      <c r="K11" s="5">
        <v>51</v>
      </c>
      <c r="L11" s="5">
        <v>80</v>
      </c>
      <c r="M11" s="5">
        <v>22</v>
      </c>
      <c r="N11" s="5">
        <v>16</v>
      </c>
    </row>
    <row r="12" spans="1:14" x14ac:dyDescent="0.45">
      <c r="A12" t="s">
        <v>187</v>
      </c>
      <c r="C12" s="5">
        <v>0.19500000000000001</v>
      </c>
      <c r="D12" s="5">
        <v>0.182</v>
      </c>
      <c r="E12" s="5">
        <v>0.182</v>
      </c>
      <c r="F12" s="5">
        <v>0.183</v>
      </c>
      <c r="G12" s="5">
        <v>0.183</v>
      </c>
      <c r="H12" s="5">
        <v>0.183</v>
      </c>
      <c r="I12" s="5">
        <v>0.182</v>
      </c>
      <c r="J12" s="5">
        <v>0.17799999999999999</v>
      </c>
      <c r="K12" s="5">
        <v>0.151</v>
      </c>
      <c r="L12" s="5">
        <v>0.156</v>
      </c>
      <c r="M12" s="5">
        <v>0.159</v>
      </c>
      <c r="N12" s="5">
        <v>0.16600000000000001</v>
      </c>
    </row>
    <row r="13" spans="1:14" x14ac:dyDescent="0.45">
      <c r="A13" t="s">
        <v>188</v>
      </c>
      <c r="C13" s="5">
        <v>14157</v>
      </c>
      <c r="D13" s="5">
        <v>13066</v>
      </c>
      <c r="E13" s="5">
        <v>13048</v>
      </c>
      <c r="F13" s="5">
        <v>13449</v>
      </c>
      <c r="G13" s="5">
        <v>13110</v>
      </c>
      <c r="H13" s="5">
        <v>13432</v>
      </c>
      <c r="I13" s="5">
        <v>13160</v>
      </c>
      <c r="J13" s="5">
        <v>9673</v>
      </c>
      <c r="K13" s="5">
        <v>1489</v>
      </c>
      <c r="L13" s="5">
        <v>1474</v>
      </c>
      <c r="M13" s="5">
        <v>1436</v>
      </c>
      <c r="N13" s="5">
        <v>1432</v>
      </c>
    </row>
    <row r="14" spans="1:14" x14ac:dyDescent="0.45">
      <c r="A14" t="s">
        <v>189</v>
      </c>
      <c r="C14" s="5">
        <v>21571</v>
      </c>
      <c r="D14" s="5">
        <v>19961</v>
      </c>
      <c r="E14" s="5">
        <v>19581</v>
      </c>
      <c r="F14" s="5">
        <v>19559</v>
      </c>
      <c r="G14" s="5">
        <v>18842</v>
      </c>
      <c r="H14" s="5">
        <v>18733</v>
      </c>
      <c r="I14" s="5">
        <v>17579</v>
      </c>
      <c r="J14" s="5">
        <v>13220</v>
      </c>
      <c r="K14" s="5">
        <v>2196</v>
      </c>
      <c r="L14" s="5">
        <v>2179</v>
      </c>
      <c r="M14" s="5">
        <v>2169</v>
      </c>
      <c r="N14" s="5">
        <v>2281</v>
      </c>
    </row>
    <row r="15" spans="1:14" x14ac:dyDescent="0.45">
      <c r="A15" t="s">
        <v>190</v>
      </c>
      <c r="C15" s="5">
        <v>13737</v>
      </c>
      <c r="D15" s="5">
        <v>12572</v>
      </c>
      <c r="E15" s="5">
        <v>12162</v>
      </c>
      <c r="F15" s="5">
        <v>12151</v>
      </c>
      <c r="G15" s="5">
        <v>11679</v>
      </c>
      <c r="H15" s="5">
        <v>11514</v>
      </c>
      <c r="I15" s="5">
        <v>10681</v>
      </c>
      <c r="J15" s="5">
        <v>7908</v>
      </c>
      <c r="K15" s="5">
        <v>1313</v>
      </c>
      <c r="L15" s="5">
        <v>1306</v>
      </c>
      <c r="M15" s="5">
        <v>1299</v>
      </c>
      <c r="N15" s="5">
        <v>1731</v>
      </c>
    </row>
    <row r="16" spans="1:14" x14ac:dyDescent="0.45">
      <c r="A16" t="s">
        <v>191</v>
      </c>
      <c r="C16" s="5">
        <v>22370</v>
      </c>
      <c r="D16" s="5">
        <v>20321</v>
      </c>
      <c r="E16" s="5">
        <v>19620</v>
      </c>
      <c r="F16" s="5">
        <v>19465</v>
      </c>
      <c r="G16" s="5">
        <v>18779</v>
      </c>
      <c r="H16" s="5">
        <v>18579</v>
      </c>
      <c r="I16" s="5">
        <v>17313</v>
      </c>
      <c r="J16" s="5">
        <v>12968</v>
      </c>
      <c r="K16" s="5">
        <v>3187</v>
      </c>
      <c r="L16" s="5">
        <v>3445</v>
      </c>
      <c r="M16" s="5">
        <v>3855</v>
      </c>
      <c r="N16" s="5">
        <v>4520</v>
      </c>
    </row>
    <row r="17" spans="1:14" x14ac:dyDescent="0.45">
      <c r="A17" t="s">
        <v>192</v>
      </c>
      <c r="C17" s="5">
        <v>30089</v>
      </c>
      <c r="D17" s="5">
        <v>27669</v>
      </c>
      <c r="E17" s="5">
        <v>26638</v>
      </c>
      <c r="F17" s="5">
        <v>26037</v>
      </c>
      <c r="G17" s="5">
        <v>25209</v>
      </c>
      <c r="H17" s="5">
        <v>24645</v>
      </c>
      <c r="I17" s="5">
        <v>22498</v>
      </c>
      <c r="J17" s="5">
        <v>16924</v>
      </c>
      <c r="K17" s="5">
        <v>5936</v>
      </c>
      <c r="L17" s="5">
        <v>6765</v>
      </c>
      <c r="M17" s="5">
        <v>7493</v>
      </c>
      <c r="N17" s="5">
        <v>8611</v>
      </c>
    </row>
    <row r="18" spans="1:14" x14ac:dyDescent="0.45">
      <c r="A18" t="s">
        <v>193</v>
      </c>
      <c r="C18" s="5">
        <v>46530</v>
      </c>
      <c r="D18" s="5">
        <v>46499</v>
      </c>
      <c r="E18" s="5">
        <v>44476</v>
      </c>
      <c r="F18" s="5">
        <v>42167</v>
      </c>
      <c r="G18" s="5">
        <v>40489</v>
      </c>
      <c r="H18" s="5">
        <v>39484</v>
      </c>
      <c r="I18" s="5">
        <v>38352</v>
      </c>
      <c r="J18" s="5">
        <v>36887</v>
      </c>
      <c r="K18" s="5">
        <v>34571</v>
      </c>
      <c r="L18" s="5">
        <v>29125</v>
      </c>
      <c r="M18" s="5">
        <v>29372</v>
      </c>
      <c r="N18" s="5">
        <v>25234</v>
      </c>
    </row>
    <row r="20" spans="1:14" x14ac:dyDescent="0.45">
      <c r="C20" s="5">
        <f t="shared" ref="C20:N20" si="1">SUM(C13:C18)-C8</f>
        <v>0</v>
      </c>
      <c r="D20" s="5">
        <f t="shared" si="1"/>
        <v>0</v>
      </c>
      <c r="E20" s="5">
        <f t="shared" si="1"/>
        <v>0</v>
      </c>
      <c r="F20" s="5">
        <f t="shared" si="1"/>
        <v>1</v>
      </c>
      <c r="G20" s="5">
        <f t="shared" si="1"/>
        <v>-1</v>
      </c>
      <c r="H20" s="5">
        <f t="shared" si="1"/>
        <v>0</v>
      </c>
      <c r="I20" s="5">
        <f t="shared" si="1"/>
        <v>0</v>
      </c>
      <c r="J20" s="5">
        <f t="shared" si="1"/>
        <v>-1</v>
      </c>
      <c r="K20" s="5">
        <f t="shared" si="1"/>
        <v>-1</v>
      </c>
      <c r="L20" s="5">
        <f t="shared" si="1"/>
        <v>0</v>
      </c>
      <c r="M20" s="5">
        <f t="shared" si="1"/>
        <v>-1</v>
      </c>
      <c r="N20" s="5">
        <f t="shared" si="1"/>
        <v>0</v>
      </c>
    </row>
    <row r="21" spans="1:14" x14ac:dyDescent="0.45">
      <c r="C21" s="5"/>
      <c r="D21" s="5"/>
      <c r="E21" s="5"/>
      <c r="F21" s="5"/>
      <c r="G21" s="5"/>
      <c r="H21" s="5"/>
      <c r="I21" s="5"/>
      <c r="J21" s="5"/>
      <c r="K21" s="5"/>
      <c r="L21" s="5"/>
      <c r="M21" s="5"/>
      <c r="N21" s="5"/>
    </row>
    <row r="22" spans="1:14" x14ac:dyDescent="0.45">
      <c r="C22" s="5"/>
      <c r="D22" s="5"/>
      <c r="E22" s="5"/>
      <c r="F22" s="5"/>
      <c r="G22" s="5"/>
      <c r="H22" s="5"/>
      <c r="I22" s="5"/>
      <c r="J22" s="5"/>
      <c r="K22" s="5"/>
      <c r="L22" s="5"/>
      <c r="M22" s="5"/>
      <c r="N22" s="5"/>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
  <sheetViews>
    <sheetView workbookViewId="0">
      <selection activeCell="C5" sqref="C5"/>
    </sheetView>
  </sheetViews>
  <sheetFormatPr defaultRowHeight="17" x14ac:dyDescent="0.45"/>
  <sheetData>
    <row r="1" spans="1:13" x14ac:dyDescent="0.45">
      <c r="A1" t="s">
        <v>367</v>
      </c>
      <c r="B1" t="s">
        <v>368</v>
      </c>
    </row>
    <row r="2" spans="1:13" x14ac:dyDescent="0.45">
      <c r="A2" t="s">
        <v>33</v>
      </c>
      <c r="B2">
        <v>23.06</v>
      </c>
      <c r="C2">
        <v>23.07</v>
      </c>
      <c r="D2">
        <v>23.08</v>
      </c>
      <c r="E2">
        <v>23.09</v>
      </c>
      <c r="F2">
        <v>23.1</v>
      </c>
      <c r="G2">
        <v>23.11</v>
      </c>
      <c r="H2">
        <v>23.12</v>
      </c>
      <c r="I2">
        <v>24.01</v>
      </c>
      <c r="J2">
        <v>24.02</v>
      </c>
      <c r="K2">
        <v>24.03</v>
      </c>
      <c r="L2">
        <v>24.04</v>
      </c>
      <c r="M2">
        <v>24.05</v>
      </c>
    </row>
    <row r="3" spans="1:13" x14ac:dyDescent="0.45">
      <c r="A3" t="s">
        <v>87</v>
      </c>
      <c r="B3" s="5">
        <v>164166</v>
      </c>
      <c r="C3" s="5">
        <v>160214</v>
      </c>
      <c r="D3" s="5">
        <v>155085</v>
      </c>
      <c r="E3" s="5">
        <v>150791</v>
      </c>
      <c r="F3" s="5">
        <v>148667</v>
      </c>
      <c r="G3" s="5">
        <v>145731</v>
      </c>
      <c r="H3" s="5">
        <v>143929</v>
      </c>
      <c r="I3" s="5">
        <v>129191</v>
      </c>
      <c r="J3" s="5">
        <v>72763</v>
      </c>
      <c r="K3" s="5">
        <v>65338</v>
      </c>
      <c r="L3" s="5">
        <v>63773</v>
      </c>
      <c r="M3" s="5">
        <v>63174</v>
      </c>
    </row>
    <row r="4" spans="1:13" x14ac:dyDescent="0.45">
      <c r="A4" t="s">
        <v>95</v>
      </c>
      <c r="B4" s="5">
        <v>23467</v>
      </c>
      <c r="C4" s="5">
        <v>23576</v>
      </c>
      <c r="D4" s="5">
        <v>23449</v>
      </c>
      <c r="E4" s="5">
        <v>23219</v>
      </c>
      <c r="F4" s="5">
        <v>23383</v>
      </c>
      <c r="G4" s="5">
        <v>23468</v>
      </c>
      <c r="H4" s="5">
        <v>23204</v>
      </c>
      <c r="I4" s="5">
        <v>23673</v>
      </c>
      <c r="J4" s="5">
        <v>23623</v>
      </c>
      <c r="K4" s="5">
        <v>22730</v>
      </c>
      <c r="L4" s="5">
        <v>22069</v>
      </c>
      <c r="M4" s="5">
        <v>21950</v>
      </c>
    </row>
    <row r="5" spans="1:13" x14ac:dyDescent="0.45">
      <c r="A5" t="s">
        <v>194</v>
      </c>
      <c r="B5" s="5">
        <v>7</v>
      </c>
      <c r="C5" s="5">
        <v>6.8</v>
      </c>
      <c r="D5" s="5">
        <v>6.61</v>
      </c>
      <c r="E5" s="5">
        <v>6.49</v>
      </c>
      <c r="F5" s="5">
        <v>6.36</v>
      </c>
      <c r="G5" s="5">
        <v>6.21</v>
      </c>
      <c r="H5" s="5">
        <v>6.2</v>
      </c>
      <c r="I5" s="5">
        <v>5.46</v>
      </c>
      <c r="J5" s="5">
        <v>3.08</v>
      </c>
      <c r="K5" s="5">
        <v>2.88</v>
      </c>
      <c r="L5" s="5">
        <v>2.89</v>
      </c>
      <c r="M5" s="5">
        <v>2.88</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4"/>
  <sheetViews>
    <sheetView workbookViewId="0">
      <selection activeCell="B11" sqref="B11"/>
    </sheetView>
  </sheetViews>
  <sheetFormatPr defaultRowHeight="17" x14ac:dyDescent="0.45"/>
  <sheetData>
    <row r="1" spans="1:14" x14ac:dyDescent="0.45">
      <c r="A1" t="s">
        <v>367</v>
      </c>
      <c r="B1" t="s">
        <v>368</v>
      </c>
    </row>
    <row r="2" spans="1:14" x14ac:dyDescent="0.45">
      <c r="A2" t="s">
        <v>33</v>
      </c>
      <c r="C2">
        <v>23.06</v>
      </c>
      <c r="D2">
        <v>23.07</v>
      </c>
      <c r="E2">
        <v>23.08</v>
      </c>
      <c r="F2">
        <v>23.09</v>
      </c>
      <c r="G2">
        <v>23.1</v>
      </c>
      <c r="H2">
        <v>23.11</v>
      </c>
      <c r="I2">
        <v>23.12</v>
      </c>
      <c r="J2">
        <v>24.01</v>
      </c>
      <c r="K2">
        <v>24.02</v>
      </c>
      <c r="L2">
        <v>24.03</v>
      </c>
      <c r="M2">
        <v>24.04</v>
      </c>
      <c r="N2">
        <v>24.05</v>
      </c>
    </row>
    <row r="3" spans="1:14" x14ac:dyDescent="0.45">
      <c r="A3" t="s">
        <v>89</v>
      </c>
      <c r="C3" s="5">
        <v>148454</v>
      </c>
      <c r="D3" s="5">
        <v>140888</v>
      </c>
      <c r="E3" s="5">
        <v>135525</v>
      </c>
      <c r="F3" s="5">
        <v>132827</v>
      </c>
      <c r="G3" s="5">
        <v>128109</v>
      </c>
      <c r="H3" s="5">
        <v>126387</v>
      </c>
      <c r="I3" s="5">
        <v>119583</v>
      </c>
      <c r="J3" s="5">
        <v>97581</v>
      </c>
      <c r="K3" s="5">
        <v>48693</v>
      </c>
      <c r="L3" s="5">
        <v>44294</v>
      </c>
      <c r="M3" s="5">
        <v>45625</v>
      </c>
      <c r="N3" s="5">
        <v>43809</v>
      </c>
    </row>
    <row r="4" spans="1:14" x14ac:dyDescent="0.45">
      <c r="A4" t="s">
        <v>195</v>
      </c>
      <c r="B4" t="s">
        <v>196</v>
      </c>
      <c r="C4" s="5">
        <v>1515</v>
      </c>
      <c r="D4" s="5">
        <v>1635</v>
      </c>
      <c r="E4" s="5">
        <v>1699</v>
      </c>
      <c r="F4" s="5">
        <v>1977</v>
      </c>
      <c r="G4" s="5">
        <v>826</v>
      </c>
      <c r="H4" s="5">
        <v>2375</v>
      </c>
      <c r="I4" s="5">
        <v>1349</v>
      </c>
      <c r="J4" s="5">
        <v>1685</v>
      </c>
      <c r="K4" s="5">
        <v>911</v>
      </c>
      <c r="L4" s="5">
        <v>296</v>
      </c>
      <c r="M4" s="5">
        <v>455</v>
      </c>
      <c r="N4" s="5">
        <v>362</v>
      </c>
    </row>
    <row r="5" spans="1:14" x14ac:dyDescent="0.45">
      <c r="B5" t="s">
        <v>197</v>
      </c>
      <c r="C5" s="5">
        <v>1481</v>
      </c>
      <c r="D5" s="5">
        <v>2732</v>
      </c>
      <c r="E5" s="5">
        <v>1868</v>
      </c>
      <c r="F5" s="5">
        <v>1875</v>
      </c>
      <c r="G5" s="5">
        <v>3667</v>
      </c>
      <c r="H5" s="5">
        <v>1666</v>
      </c>
      <c r="I5" s="5">
        <v>1807</v>
      </c>
      <c r="J5" s="5">
        <v>2832</v>
      </c>
      <c r="K5" s="5">
        <v>1427</v>
      </c>
      <c r="L5" s="5">
        <v>286</v>
      </c>
      <c r="M5" s="5">
        <v>333</v>
      </c>
      <c r="N5" s="5">
        <v>677</v>
      </c>
    </row>
    <row r="6" spans="1:14" x14ac:dyDescent="0.45">
      <c r="B6" t="s">
        <v>198</v>
      </c>
      <c r="C6" s="5">
        <v>15668</v>
      </c>
      <c r="D6" s="5">
        <v>10087</v>
      </c>
      <c r="E6" s="5">
        <v>11622</v>
      </c>
      <c r="F6" s="5">
        <v>12598</v>
      </c>
      <c r="G6" s="5">
        <v>12440</v>
      </c>
      <c r="H6" s="5">
        <v>14230</v>
      </c>
      <c r="I6" s="5">
        <v>9801</v>
      </c>
      <c r="J6" s="5">
        <v>10008</v>
      </c>
      <c r="K6" s="5">
        <v>12511</v>
      </c>
      <c r="L6" s="5">
        <v>12941</v>
      </c>
      <c r="M6" s="5">
        <v>12760</v>
      </c>
      <c r="N6" s="5">
        <v>11897</v>
      </c>
    </row>
    <row r="7" spans="1:14" x14ac:dyDescent="0.45">
      <c r="B7" t="s">
        <v>55</v>
      </c>
      <c r="C7" s="5">
        <v>18665</v>
      </c>
      <c r="D7" s="5">
        <v>14454</v>
      </c>
      <c r="E7" s="5">
        <v>15188</v>
      </c>
      <c r="F7" s="5">
        <v>16450</v>
      </c>
      <c r="G7" s="5">
        <v>16933</v>
      </c>
      <c r="H7" s="5">
        <v>18270</v>
      </c>
      <c r="I7" s="5">
        <v>12957</v>
      </c>
      <c r="J7" s="5">
        <v>14525</v>
      </c>
      <c r="K7" s="5">
        <v>14850</v>
      </c>
      <c r="L7" s="5">
        <v>13523</v>
      </c>
      <c r="M7" s="5">
        <v>13548</v>
      </c>
      <c r="N7" s="5">
        <v>12936</v>
      </c>
    </row>
    <row r="8" spans="1:14" x14ac:dyDescent="0.45">
      <c r="A8" t="s">
        <v>199</v>
      </c>
      <c r="B8" t="s">
        <v>196</v>
      </c>
      <c r="C8" s="5">
        <v>1.0200000000000001E-2</v>
      </c>
      <c r="D8" s="5">
        <v>1.17E-2</v>
      </c>
      <c r="E8" s="5">
        <v>1.2500000000000001E-2</v>
      </c>
      <c r="F8" s="5">
        <v>1.49E-2</v>
      </c>
      <c r="G8" s="5">
        <v>6.4000000000000003E-3</v>
      </c>
      <c r="H8" s="5">
        <v>1.8800000000000001E-2</v>
      </c>
      <c r="I8" s="5">
        <v>1.1299999999999999E-2</v>
      </c>
      <c r="J8" s="5">
        <v>1.7299999999999999E-2</v>
      </c>
      <c r="K8" s="5">
        <v>1.8700000000000001E-2</v>
      </c>
      <c r="L8" s="5">
        <v>6.7000000000000002E-3</v>
      </c>
      <c r="M8" s="5">
        <v>0.01</v>
      </c>
      <c r="N8" s="5">
        <v>8.3000000000000001E-3</v>
      </c>
    </row>
    <row r="9" spans="1:14" x14ac:dyDescent="0.45">
      <c r="B9" t="s">
        <v>197</v>
      </c>
      <c r="C9" s="5">
        <v>0.01</v>
      </c>
      <c r="D9" s="5">
        <v>1.95E-2</v>
      </c>
      <c r="E9" s="5">
        <v>1.38E-2</v>
      </c>
      <c r="F9" s="5">
        <v>1.41E-2</v>
      </c>
      <c r="G9" s="5">
        <v>2.86E-2</v>
      </c>
      <c r="H9" s="5">
        <v>1.32E-2</v>
      </c>
      <c r="I9" s="5">
        <v>1.5100000000000001E-2</v>
      </c>
      <c r="J9" s="5">
        <v>2.9000000000000001E-2</v>
      </c>
      <c r="K9" s="5">
        <v>2.93E-2</v>
      </c>
      <c r="L9" s="5">
        <v>6.4000000000000003E-3</v>
      </c>
      <c r="M9" s="5">
        <v>7.3000000000000001E-3</v>
      </c>
      <c r="N9" s="5">
        <v>1.55E-2</v>
      </c>
    </row>
    <row r="10" spans="1:14" x14ac:dyDescent="0.45">
      <c r="B10" t="s">
        <v>198</v>
      </c>
      <c r="C10" s="5">
        <v>0.1055</v>
      </c>
      <c r="D10" s="5">
        <v>7.1999999999999995E-2</v>
      </c>
      <c r="E10" s="5">
        <v>8.5800000000000001E-2</v>
      </c>
      <c r="F10" s="5">
        <v>9.4799999999999995E-2</v>
      </c>
      <c r="G10" s="5">
        <v>9.7100000000000006E-2</v>
      </c>
      <c r="H10" s="5">
        <v>0.11260000000000001</v>
      </c>
      <c r="I10" s="5">
        <v>8.2000000000000003E-2</v>
      </c>
      <c r="J10" s="5">
        <v>0.1026</v>
      </c>
      <c r="K10" s="5">
        <v>0.25690000000000002</v>
      </c>
      <c r="L10" s="5">
        <v>0.29220000000000002</v>
      </c>
      <c r="M10" s="5">
        <v>0.2797</v>
      </c>
      <c r="N10" s="5">
        <v>0.27160000000000001</v>
      </c>
    </row>
    <row r="11" spans="1:14" x14ac:dyDescent="0.45">
      <c r="B11" t="s">
        <v>55</v>
      </c>
      <c r="C11" s="5">
        <v>0.12570000000000001</v>
      </c>
      <c r="D11" s="5">
        <v>0.1032</v>
      </c>
      <c r="E11" s="5">
        <v>0.11210000000000001</v>
      </c>
      <c r="F11" s="5">
        <v>0.12379999999999999</v>
      </c>
      <c r="G11" s="5">
        <v>0.13220000000000001</v>
      </c>
      <c r="H11" s="5">
        <v>0.14460000000000001</v>
      </c>
      <c r="I11" s="5">
        <v>0.10829999999999999</v>
      </c>
      <c r="J11" s="5">
        <v>0.1489</v>
      </c>
      <c r="K11" s="5">
        <v>0.30499999999999999</v>
      </c>
      <c r="L11" s="5">
        <v>0.30530000000000002</v>
      </c>
      <c r="M11" s="5">
        <v>0.29699999999999999</v>
      </c>
      <c r="N11" s="5">
        <v>0.29530000000000001</v>
      </c>
    </row>
    <row r="12" spans="1:14" x14ac:dyDescent="0.45">
      <c r="A12" t="s">
        <v>200</v>
      </c>
      <c r="C12" s="5">
        <v>11698</v>
      </c>
      <c r="D12" s="5">
        <v>7733</v>
      </c>
      <c r="E12" s="5">
        <v>8334</v>
      </c>
      <c r="F12" s="5">
        <v>9122</v>
      </c>
      <c r="G12" s="5">
        <v>9126</v>
      </c>
      <c r="H12" s="5">
        <v>9800</v>
      </c>
      <c r="I12" s="5">
        <v>5768</v>
      </c>
      <c r="J12" s="5">
        <v>6715</v>
      </c>
      <c r="K12" s="5">
        <v>7496</v>
      </c>
      <c r="L12" s="5">
        <v>7950</v>
      </c>
      <c r="M12" s="5">
        <v>8364</v>
      </c>
      <c r="N12" s="5">
        <v>8353</v>
      </c>
    </row>
    <row r="13" spans="1:14" x14ac:dyDescent="0.45">
      <c r="A13" t="s">
        <v>201</v>
      </c>
      <c r="C13" s="5">
        <v>335</v>
      </c>
      <c r="D13" s="5">
        <v>-215</v>
      </c>
      <c r="E13" s="5">
        <v>60</v>
      </c>
      <c r="F13" s="5">
        <v>21</v>
      </c>
      <c r="G13" s="5">
        <v>29</v>
      </c>
      <c r="H13" s="5">
        <v>39</v>
      </c>
      <c r="I13" s="5">
        <v>136</v>
      </c>
      <c r="J13" s="5">
        <v>1</v>
      </c>
      <c r="K13" s="5">
        <v>3</v>
      </c>
      <c r="L13" s="5">
        <v>15</v>
      </c>
      <c r="M13" s="5">
        <v>34</v>
      </c>
      <c r="N13" s="5">
        <v>6</v>
      </c>
    </row>
    <row r="14" spans="1:14" x14ac:dyDescent="0.45">
      <c r="A14" t="s">
        <v>202</v>
      </c>
      <c r="C14" s="5" t="s">
        <v>17</v>
      </c>
      <c r="D14" s="5">
        <v>7843</v>
      </c>
      <c r="E14" s="5">
        <v>282</v>
      </c>
      <c r="F14" s="5" t="s">
        <v>17</v>
      </c>
      <c r="G14" s="5">
        <v>891</v>
      </c>
      <c r="H14" s="5" t="s">
        <v>17</v>
      </c>
      <c r="I14" s="5">
        <v>4972</v>
      </c>
      <c r="J14" s="5">
        <v>19173</v>
      </c>
      <c r="K14" s="5">
        <v>52132</v>
      </c>
      <c r="L14" s="5">
        <v>13915</v>
      </c>
      <c r="M14" s="5">
        <v>-226</v>
      </c>
      <c r="N14" s="5">
        <v>-94</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6"/>
  <sheetViews>
    <sheetView workbookViewId="0">
      <selection activeCell="E27" sqref="E27"/>
    </sheetView>
  </sheetViews>
  <sheetFormatPr defaultRowHeight="17" x14ac:dyDescent="0.45"/>
  <sheetData>
    <row r="1" spans="1:14" x14ac:dyDescent="0.45">
      <c r="A1" t="s">
        <v>371</v>
      </c>
      <c r="B1">
        <v>2024</v>
      </c>
    </row>
    <row r="2" spans="1:14" x14ac:dyDescent="0.45">
      <c r="A2" t="s">
        <v>367</v>
      </c>
      <c r="B2" t="s">
        <v>368</v>
      </c>
    </row>
    <row r="3" spans="1:14" x14ac:dyDescent="0.45">
      <c r="A3" t="s">
        <v>52</v>
      </c>
      <c r="C3">
        <v>24.01</v>
      </c>
      <c r="E3">
        <v>24.02</v>
      </c>
      <c r="G3">
        <v>24.03</v>
      </c>
      <c r="I3">
        <v>24.04</v>
      </c>
      <c r="K3">
        <v>24.05</v>
      </c>
      <c r="M3">
        <v>24.06</v>
      </c>
    </row>
    <row r="4" spans="1:14" x14ac:dyDescent="0.45">
      <c r="C4" t="s">
        <v>203</v>
      </c>
      <c r="D4" t="s">
        <v>204</v>
      </c>
      <c r="E4" t="s">
        <v>203</v>
      </c>
      <c r="F4" t="s">
        <v>204</v>
      </c>
      <c r="G4" t="s">
        <v>203</v>
      </c>
      <c r="H4" t="s">
        <v>204</v>
      </c>
      <c r="I4" t="s">
        <v>203</v>
      </c>
      <c r="J4" t="s">
        <v>204</v>
      </c>
      <c r="K4" t="s">
        <v>203</v>
      </c>
      <c r="L4" t="s">
        <v>204</v>
      </c>
      <c r="M4" t="s">
        <v>203</v>
      </c>
      <c r="N4" t="s">
        <v>204</v>
      </c>
    </row>
    <row r="5" spans="1:14" x14ac:dyDescent="0.45">
      <c r="A5" t="s">
        <v>205</v>
      </c>
      <c r="C5">
        <v>97581</v>
      </c>
      <c r="E5">
        <v>48693</v>
      </c>
      <c r="G5">
        <v>44294</v>
      </c>
      <c r="I5">
        <v>45625</v>
      </c>
      <c r="K5">
        <v>43809</v>
      </c>
      <c r="M5">
        <v>45060</v>
      </c>
    </row>
    <row r="6" spans="1:14" x14ac:dyDescent="0.45">
      <c r="A6" t="s">
        <v>206</v>
      </c>
      <c r="B6" t="s">
        <v>207</v>
      </c>
      <c r="C6">
        <v>164</v>
      </c>
      <c r="D6">
        <v>34</v>
      </c>
      <c r="E6">
        <v>18</v>
      </c>
      <c r="F6">
        <v>84</v>
      </c>
      <c r="G6">
        <v>5</v>
      </c>
      <c r="H6">
        <v>126</v>
      </c>
      <c r="I6">
        <v>25</v>
      </c>
      <c r="J6">
        <v>153</v>
      </c>
      <c r="K6">
        <v>194</v>
      </c>
      <c r="L6">
        <v>127</v>
      </c>
      <c r="M6">
        <v>236</v>
      </c>
      <c r="N6">
        <v>115</v>
      </c>
    </row>
    <row r="7" spans="1:14" x14ac:dyDescent="0.45">
      <c r="B7" t="s">
        <v>5</v>
      </c>
      <c r="C7">
        <v>1364</v>
      </c>
      <c r="D7">
        <v>572</v>
      </c>
      <c r="E7">
        <v>3663</v>
      </c>
      <c r="F7">
        <v>1548</v>
      </c>
      <c r="G7">
        <v>8178</v>
      </c>
      <c r="H7">
        <v>2351</v>
      </c>
      <c r="I7">
        <v>762</v>
      </c>
      <c r="J7">
        <v>3208</v>
      </c>
      <c r="K7">
        <v>2354</v>
      </c>
      <c r="L7">
        <v>2869</v>
      </c>
      <c r="M7">
        <v>2229</v>
      </c>
      <c r="N7">
        <v>2408</v>
      </c>
    </row>
    <row r="8" spans="1:14" x14ac:dyDescent="0.45">
      <c r="B8" t="s">
        <v>54</v>
      </c>
      <c r="C8">
        <v>1210</v>
      </c>
      <c r="D8">
        <v>560</v>
      </c>
      <c r="E8">
        <v>4846</v>
      </c>
      <c r="F8">
        <v>2054</v>
      </c>
      <c r="G8">
        <v>12958</v>
      </c>
      <c r="H8">
        <v>4186</v>
      </c>
      <c r="I8">
        <v>11597</v>
      </c>
      <c r="J8">
        <v>6827</v>
      </c>
      <c r="K8">
        <v>8862</v>
      </c>
      <c r="L8">
        <v>8972</v>
      </c>
      <c r="M8">
        <v>8929</v>
      </c>
      <c r="N8">
        <v>10448</v>
      </c>
    </row>
    <row r="9" spans="1:14" x14ac:dyDescent="0.45">
      <c r="A9" t="s">
        <v>208</v>
      </c>
      <c r="B9" t="s">
        <v>209</v>
      </c>
      <c r="C9">
        <v>0</v>
      </c>
      <c r="D9">
        <v>0</v>
      </c>
      <c r="E9">
        <v>0</v>
      </c>
      <c r="F9">
        <v>0</v>
      </c>
      <c r="G9">
        <v>10</v>
      </c>
      <c r="H9">
        <v>30</v>
      </c>
      <c r="I9">
        <v>10</v>
      </c>
      <c r="J9">
        <v>30</v>
      </c>
      <c r="K9">
        <v>15</v>
      </c>
      <c r="L9">
        <v>20</v>
      </c>
      <c r="M9">
        <v>3</v>
      </c>
      <c r="N9">
        <v>80</v>
      </c>
    </row>
    <row r="10" spans="1:14" x14ac:dyDescent="0.45">
      <c r="B10" t="s">
        <v>210</v>
      </c>
      <c r="C10">
        <v>0</v>
      </c>
      <c r="D10">
        <v>0</v>
      </c>
      <c r="E10">
        <v>0</v>
      </c>
      <c r="F10">
        <v>0</v>
      </c>
      <c r="G10">
        <v>0</v>
      </c>
      <c r="H10">
        <v>0</v>
      </c>
      <c r="I10">
        <v>0</v>
      </c>
      <c r="J10">
        <v>0</v>
      </c>
      <c r="K10">
        <v>7</v>
      </c>
      <c r="L10">
        <v>0</v>
      </c>
      <c r="M10">
        <v>0</v>
      </c>
      <c r="N10">
        <v>0</v>
      </c>
    </row>
    <row r="11" spans="1:14" x14ac:dyDescent="0.45">
      <c r="B11" t="s">
        <v>211</v>
      </c>
      <c r="C11">
        <v>0</v>
      </c>
      <c r="D11">
        <v>0</v>
      </c>
      <c r="E11">
        <v>0</v>
      </c>
      <c r="F11">
        <v>0</v>
      </c>
      <c r="G11">
        <v>0</v>
      </c>
      <c r="H11">
        <v>0</v>
      </c>
      <c r="I11">
        <v>0</v>
      </c>
      <c r="J11">
        <v>0</v>
      </c>
      <c r="K11">
        <v>10</v>
      </c>
      <c r="L11">
        <v>30</v>
      </c>
      <c r="M11">
        <v>10</v>
      </c>
      <c r="N11">
        <v>30</v>
      </c>
    </row>
    <row r="12" spans="1:14" x14ac:dyDescent="0.45">
      <c r="B12" t="s">
        <v>212</v>
      </c>
      <c r="C12">
        <v>0</v>
      </c>
      <c r="D12">
        <v>0</v>
      </c>
      <c r="E12">
        <v>0</v>
      </c>
      <c r="F12">
        <v>0</v>
      </c>
      <c r="G12">
        <v>10</v>
      </c>
      <c r="H12">
        <v>30</v>
      </c>
      <c r="I12">
        <v>10</v>
      </c>
      <c r="J12">
        <v>30</v>
      </c>
      <c r="K12">
        <v>32</v>
      </c>
      <c r="L12">
        <v>50</v>
      </c>
      <c r="M12">
        <v>13</v>
      </c>
      <c r="N12">
        <v>110</v>
      </c>
    </row>
    <row r="13" spans="1:14" x14ac:dyDescent="0.45">
      <c r="A13" t="s">
        <v>213</v>
      </c>
      <c r="B13" t="s">
        <v>209</v>
      </c>
      <c r="C13">
        <v>0</v>
      </c>
      <c r="D13">
        <v>0</v>
      </c>
      <c r="E13">
        <v>0</v>
      </c>
      <c r="F13">
        <v>0</v>
      </c>
      <c r="G13">
        <v>0</v>
      </c>
      <c r="H13">
        <v>1E-3</v>
      </c>
      <c r="I13">
        <v>0</v>
      </c>
      <c r="J13">
        <v>1E-3</v>
      </c>
      <c r="K13">
        <v>0</v>
      </c>
      <c r="L13">
        <v>0</v>
      </c>
      <c r="M13">
        <v>0</v>
      </c>
      <c r="N13">
        <v>2E-3</v>
      </c>
    </row>
    <row r="14" spans="1:14" x14ac:dyDescent="0.45">
      <c r="B14" t="s">
        <v>210</v>
      </c>
      <c r="C14">
        <v>0</v>
      </c>
      <c r="D14">
        <v>0</v>
      </c>
      <c r="E14">
        <v>0</v>
      </c>
      <c r="F14">
        <v>0</v>
      </c>
      <c r="G14">
        <v>0</v>
      </c>
      <c r="H14">
        <v>0</v>
      </c>
      <c r="I14">
        <v>0</v>
      </c>
      <c r="J14">
        <v>0</v>
      </c>
      <c r="K14">
        <v>0</v>
      </c>
      <c r="L14">
        <v>0</v>
      </c>
      <c r="M14">
        <v>0</v>
      </c>
      <c r="N14">
        <v>0</v>
      </c>
    </row>
    <row r="15" spans="1:14" x14ac:dyDescent="0.45">
      <c r="B15" t="s">
        <v>211</v>
      </c>
      <c r="C15">
        <v>0</v>
      </c>
      <c r="D15">
        <v>0</v>
      </c>
      <c r="E15">
        <v>0</v>
      </c>
      <c r="F15">
        <v>0</v>
      </c>
      <c r="G15">
        <v>0</v>
      </c>
      <c r="H15">
        <v>0</v>
      </c>
      <c r="I15">
        <v>0</v>
      </c>
      <c r="J15">
        <v>0</v>
      </c>
      <c r="K15">
        <v>0</v>
      </c>
      <c r="L15">
        <v>1E-3</v>
      </c>
      <c r="M15">
        <v>0</v>
      </c>
      <c r="N15">
        <v>1E-3</v>
      </c>
    </row>
    <row r="16" spans="1:14" x14ac:dyDescent="0.45">
      <c r="B16" t="s">
        <v>212</v>
      </c>
      <c r="C16">
        <v>0</v>
      </c>
      <c r="D16">
        <v>0</v>
      </c>
      <c r="E16">
        <v>0</v>
      </c>
      <c r="F16">
        <v>0</v>
      </c>
      <c r="G16">
        <v>0</v>
      </c>
      <c r="H16">
        <v>1E-3</v>
      </c>
      <c r="I16">
        <v>0</v>
      </c>
      <c r="J16">
        <v>1E-3</v>
      </c>
      <c r="K16">
        <v>1E-3</v>
      </c>
      <c r="L16">
        <v>1E-3</v>
      </c>
      <c r="M16">
        <v>0</v>
      </c>
      <c r="N16">
        <v>2E-3</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5"/>
  <sheetViews>
    <sheetView workbookViewId="0">
      <selection activeCell="F3" sqref="F3"/>
    </sheetView>
  </sheetViews>
  <sheetFormatPr defaultRowHeight="17" x14ac:dyDescent="0.45"/>
  <sheetData>
    <row r="1" spans="1:14" x14ac:dyDescent="0.45">
      <c r="A1" t="s">
        <v>367</v>
      </c>
      <c r="B1" t="s">
        <v>368</v>
      </c>
    </row>
    <row r="2" spans="1:14" x14ac:dyDescent="0.45">
      <c r="A2" t="s">
        <v>33</v>
      </c>
      <c r="C2">
        <v>23.06</v>
      </c>
      <c r="D2">
        <v>23.07</v>
      </c>
      <c r="E2">
        <v>23.08</v>
      </c>
      <c r="F2">
        <v>23.09</v>
      </c>
      <c r="G2">
        <v>23.1</v>
      </c>
      <c r="H2">
        <v>23.11</v>
      </c>
      <c r="I2">
        <v>23.12</v>
      </c>
      <c r="J2">
        <v>24.01</v>
      </c>
      <c r="K2">
        <v>24.02</v>
      </c>
      <c r="L2">
        <v>24.03</v>
      </c>
      <c r="M2">
        <v>24.04</v>
      </c>
      <c r="N2">
        <v>24.05</v>
      </c>
    </row>
    <row r="3" spans="1:14" x14ac:dyDescent="0.45">
      <c r="A3" t="s">
        <v>89</v>
      </c>
      <c r="C3" s="5">
        <v>148454</v>
      </c>
      <c r="D3" s="5">
        <v>140088</v>
      </c>
      <c r="E3" s="5">
        <v>135525</v>
      </c>
      <c r="F3" s="5">
        <v>132827</v>
      </c>
      <c r="G3" s="5">
        <v>128109</v>
      </c>
      <c r="H3" s="5">
        <v>126387</v>
      </c>
      <c r="I3" s="5">
        <v>119583</v>
      </c>
      <c r="J3" s="5">
        <v>97581</v>
      </c>
      <c r="K3" s="5">
        <v>48693</v>
      </c>
      <c r="L3" s="5">
        <v>44294</v>
      </c>
      <c r="M3" s="5">
        <v>45625</v>
      </c>
      <c r="N3" s="5">
        <v>43809</v>
      </c>
    </row>
    <row r="4" spans="1:14" x14ac:dyDescent="0.45">
      <c r="A4" t="s">
        <v>214</v>
      </c>
      <c r="B4" t="s">
        <v>216</v>
      </c>
      <c r="C4" s="5">
        <v>11154</v>
      </c>
      <c r="D4" s="5">
        <v>11698</v>
      </c>
      <c r="E4" s="5">
        <v>7733</v>
      </c>
      <c r="F4" s="5">
        <v>8334</v>
      </c>
      <c r="G4" s="5">
        <v>9122</v>
      </c>
      <c r="H4" s="5">
        <v>9126</v>
      </c>
      <c r="I4" s="5">
        <v>9800</v>
      </c>
      <c r="J4" s="5">
        <v>5768</v>
      </c>
      <c r="K4" s="5">
        <v>6222</v>
      </c>
      <c r="L4" s="5">
        <v>6773</v>
      </c>
      <c r="M4" s="5">
        <v>7279</v>
      </c>
      <c r="N4" s="5">
        <v>8364</v>
      </c>
    </row>
    <row r="5" spans="1:14" x14ac:dyDescent="0.45">
      <c r="B5" t="s">
        <v>217</v>
      </c>
      <c r="C5" s="5">
        <v>878</v>
      </c>
      <c r="D5" s="5">
        <v>902</v>
      </c>
      <c r="E5" s="5">
        <v>944</v>
      </c>
      <c r="F5" s="5">
        <v>808</v>
      </c>
      <c r="G5" s="5">
        <v>687</v>
      </c>
      <c r="H5" s="5">
        <v>713</v>
      </c>
      <c r="I5" s="5">
        <v>177</v>
      </c>
      <c r="J5" s="5">
        <v>948</v>
      </c>
      <c r="K5" s="5">
        <v>784</v>
      </c>
      <c r="L5" s="5">
        <v>468</v>
      </c>
      <c r="M5" s="5">
        <v>449</v>
      </c>
      <c r="N5" s="5">
        <v>-6</v>
      </c>
    </row>
    <row r="6" spans="1:14" x14ac:dyDescent="0.45">
      <c r="B6" t="s">
        <v>218</v>
      </c>
      <c r="C6" s="5">
        <v>335</v>
      </c>
      <c r="D6" s="5">
        <v>4867</v>
      </c>
      <c r="E6" s="5">
        <v>342</v>
      </c>
      <c r="F6" s="5">
        <v>21</v>
      </c>
      <c r="G6" s="5">
        <v>683</v>
      </c>
      <c r="H6" s="5">
        <v>39</v>
      </c>
      <c r="I6" s="5">
        <v>4209</v>
      </c>
      <c r="J6" s="5">
        <v>0</v>
      </c>
      <c r="K6" s="5">
        <v>3</v>
      </c>
      <c r="L6" s="5">
        <v>15</v>
      </c>
      <c r="M6" s="5">
        <v>34</v>
      </c>
      <c r="N6" s="5">
        <v>6</v>
      </c>
    </row>
    <row r="7" spans="1:14" x14ac:dyDescent="0.45">
      <c r="B7" t="s">
        <v>219</v>
      </c>
      <c r="C7" s="5">
        <v>11698</v>
      </c>
      <c r="D7" s="5">
        <v>7733</v>
      </c>
      <c r="E7" s="5">
        <v>8334</v>
      </c>
      <c r="F7" s="5">
        <v>9122</v>
      </c>
      <c r="G7" s="5">
        <v>9126</v>
      </c>
      <c r="H7" s="5">
        <v>9800</v>
      </c>
      <c r="I7" s="5">
        <v>5768</v>
      </c>
      <c r="J7" s="5">
        <v>6715</v>
      </c>
      <c r="K7" s="5">
        <v>7496</v>
      </c>
      <c r="L7" s="5">
        <v>7950</v>
      </c>
      <c r="M7" s="5">
        <v>8364</v>
      </c>
      <c r="N7" s="5">
        <v>8353</v>
      </c>
    </row>
    <row r="8" spans="1:14" x14ac:dyDescent="0.45">
      <c r="A8" t="s">
        <v>215</v>
      </c>
      <c r="C8" s="6">
        <v>7.8799999999999995E-2</v>
      </c>
      <c r="D8" s="6">
        <v>5.5199999999999999E-2</v>
      </c>
      <c r="E8" s="6">
        <v>6.1499999999999999E-2</v>
      </c>
      <c r="F8" s="6">
        <v>6.8699999999999997E-2</v>
      </c>
      <c r="G8" s="6">
        <v>7.1199999999999999E-2</v>
      </c>
      <c r="H8" s="6">
        <v>7.7499999999999999E-2</v>
      </c>
      <c r="I8" s="6">
        <v>4.82E-2</v>
      </c>
      <c r="J8" s="6">
        <v>6.88E-2</v>
      </c>
      <c r="K8" s="6">
        <v>0.15390000000000001</v>
      </c>
      <c r="L8" s="6">
        <v>0.17949999999999999</v>
      </c>
      <c r="M8" s="6">
        <v>0.18329999999999999</v>
      </c>
      <c r="N8" s="6">
        <v>0.19070000000000001</v>
      </c>
    </row>
    <row r="9" spans="1:14" x14ac:dyDescent="0.45">
      <c r="B9" s="5"/>
      <c r="C9" s="5"/>
      <c r="D9" s="5"/>
      <c r="E9" s="5"/>
      <c r="F9" s="5"/>
      <c r="G9" s="6"/>
    </row>
    <row r="10" spans="1:14" x14ac:dyDescent="0.45">
      <c r="B10" s="5"/>
      <c r="C10" s="5"/>
      <c r="D10" s="5"/>
      <c r="E10" s="5"/>
      <c r="F10" s="5"/>
      <c r="G10" s="6"/>
    </row>
    <row r="11" spans="1:14" x14ac:dyDescent="0.45">
      <c r="B11" s="5"/>
      <c r="C11" s="5"/>
      <c r="D11" s="5"/>
      <c r="E11" s="5"/>
      <c r="F11" s="5"/>
      <c r="G11" s="6"/>
    </row>
    <row r="12" spans="1:14" x14ac:dyDescent="0.45">
      <c r="B12" s="5"/>
      <c r="C12" s="5"/>
      <c r="D12" s="5"/>
      <c r="E12" s="5"/>
      <c r="F12" s="5"/>
      <c r="G12" s="6"/>
    </row>
    <row r="13" spans="1:14" x14ac:dyDescent="0.45">
      <c r="B13" s="5"/>
      <c r="C13" s="5"/>
      <c r="D13" s="5"/>
      <c r="E13" s="5"/>
      <c r="F13" s="5"/>
      <c r="G13" s="6"/>
    </row>
    <row r="14" spans="1:14" x14ac:dyDescent="0.45">
      <c r="B14" s="5"/>
      <c r="C14" s="5"/>
      <c r="D14" s="5"/>
      <c r="E14" s="5"/>
      <c r="F14" s="5"/>
      <c r="G14" s="6"/>
    </row>
    <row r="15" spans="1:14" x14ac:dyDescent="0.45">
      <c r="B15" s="5"/>
      <c r="C15" s="5"/>
      <c r="D15" s="5"/>
      <c r="E15" s="5"/>
      <c r="F15" s="5"/>
      <c r="G15" s="6"/>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
  <sheetViews>
    <sheetView workbookViewId="0">
      <selection activeCell="G4" sqref="G4"/>
    </sheetView>
  </sheetViews>
  <sheetFormatPr defaultRowHeight="17" x14ac:dyDescent="0.45"/>
  <sheetData>
    <row r="1" spans="1:9" x14ac:dyDescent="0.45">
      <c r="A1" t="s">
        <v>367</v>
      </c>
      <c r="B1" t="s">
        <v>369</v>
      </c>
    </row>
    <row r="2" spans="1:9" x14ac:dyDescent="0.45">
      <c r="A2" t="s">
        <v>33</v>
      </c>
      <c r="B2" t="s">
        <v>220</v>
      </c>
      <c r="C2" t="s">
        <v>221</v>
      </c>
      <c r="D2" t="s">
        <v>222</v>
      </c>
      <c r="E2" t="s">
        <v>223</v>
      </c>
      <c r="F2" t="s">
        <v>224</v>
      </c>
      <c r="G2" t="s">
        <v>225</v>
      </c>
      <c r="H2" t="s">
        <v>226</v>
      </c>
      <c r="I2" t="s">
        <v>227</v>
      </c>
    </row>
    <row r="3" spans="1:9" x14ac:dyDescent="0.45">
      <c r="A3" t="s">
        <v>228</v>
      </c>
      <c r="B3">
        <v>0.3</v>
      </c>
      <c r="C3">
        <v>3</v>
      </c>
      <c r="D3">
        <v>20</v>
      </c>
      <c r="E3">
        <v>50</v>
      </c>
      <c r="F3">
        <v>65</v>
      </c>
      <c r="G3">
        <v>85</v>
      </c>
      <c r="H3">
        <v>100</v>
      </c>
      <c r="I3">
        <v>100</v>
      </c>
    </row>
    <row r="4" spans="1:9" x14ac:dyDescent="0.45">
      <c r="A4" t="s">
        <v>229</v>
      </c>
      <c r="B4">
        <v>60</v>
      </c>
      <c r="C4">
        <v>60</v>
      </c>
      <c r="D4">
        <v>60</v>
      </c>
      <c r="E4">
        <v>60</v>
      </c>
      <c r="F4">
        <v>60</v>
      </c>
      <c r="G4">
        <v>60</v>
      </c>
      <c r="H4">
        <v>60</v>
      </c>
      <c r="I4">
        <v>60</v>
      </c>
    </row>
    <row r="5" spans="1:9" x14ac:dyDescent="0.45">
      <c r="A5" t="s">
        <v>230</v>
      </c>
      <c r="B5">
        <v>55</v>
      </c>
      <c r="C5">
        <v>55</v>
      </c>
      <c r="D5">
        <v>55</v>
      </c>
      <c r="E5">
        <v>55</v>
      </c>
      <c r="F5">
        <v>55</v>
      </c>
      <c r="G5">
        <v>55</v>
      </c>
      <c r="H5">
        <v>55</v>
      </c>
      <c r="I5">
        <v>55</v>
      </c>
    </row>
    <row r="6" spans="1:9" x14ac:dyDescent="0.45">
      <c r="A6" t="s">
        <v>231</v>
      </c>
      <c r="B6">
        <v>0.3</v>
      </c>
      <c r="C6">
        <v>3</v>
      </c>
      <c r="D6">
        <v>10</v>
      </c>
      <c r="E6">
        <v>20</v>
      </c>
      <c r="F6">
        <v>20</v>
      </c>
      <c r="G6">
        <v>100</v>
      </c>
      <c r="H6">
        <v>100</v>
      </c>
      <c r="I6">
        <v>100</v>
      </c>
    </row>
    <row r="7" spans="1:9" x14ac:dyDescent="0.45">
      <c r="A7" t="s">
        <v>232</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9"/>
  <sheetViews>
    <sheetView workbookViewId="0">
      <selection activeCell="K6" sqref="K6"/>
    </sheetView>
  </sheetViews>
  <sheetFormatPr defaultRowHeight="17" x14ac:dyDescent="0.45"/>
  <sheetData>
    <row r="1" spans="1:13" x14ac:dyDescent="0.45">
      <c r="A1" t="s">
        <v>367</v>
      </c>
      <c r="B1" t="s">
        <v>368</v>
      </c>
    </row>
    <row r="2" spans="1:13" x14ac:dyDescent="0.45">
      <c r="A2" t="s">
        <v>33</v>
      </c>
      <c r="B2">
        <v>23.06</v>
      </c>
      <c r="C2">
        <v>23.07</v>
      </c>
      <c r="D2">
        <v>23.08</v>
      </c>
      <c r="E2">
        <v>23.09</v>
      </c>
      <c r="F2">
        <v>23.1</v>
      </c>
      <c r="G2">
        <v>23.11</v>
      </c>
      <c r="H2">
        <v>23.12</v>
      </c>
      <c r="I2">
        <v>24.01</v>
      </c>
      <c r="J2">
        <v>24.02</v>
      </c>
      <c r="K2">
        <v>24.03</v>
      </c>
      <c r="L2">
        <v>24.04</v>
      </c>
      <c r="M2">
        <v>24.05</v>
      </c>
    </row>
    <row r="3" spans="1:13" x14ac:dyDescent="0.45">
      <c r="A3" t="s">
        <v>233</v>
      </c>
      <c r="B3" s="5">
        <v>148454</v>
      </c>
      <c r="C3" s="5">
        <v>140088</v>
      </c>
      <c r="D3" s="5">
        <v>135525</v>
      </c>
      <c r="E3" s="5">
        <v>132827</v>
      </c>
      <c r="F3" s="5">
        <v>128109</v>
      </c>
      <c r="G3" s="5">
        <v>126387</v>
      </c>
      <c r="H3" s="5">
        <v>119583</v>
      </c>
      <c r="I3" s="5">
        <v>97581</v>
      </c>
      <c r="J3" s="5">
        <v>48693</v>
      </c>
      <c r="K3" s="5">
        <v>44294</v>
      </c>
      <c r="L3" s="5">
        <v>45625</v>
      </c>
      <c r="M3" s="5">
        <v>43809</v>
      </c>
    </row>
    <row r="4" spans="1:13" x14ac:dyDescent="0.45">
      <c r="A4" t="s">
        <v>234</v>
      </c>
      <c r="B4" s="5">
        <v>18665</v>
      </c>
      <c r="C4" s="5">
        <v>14454</v>
      </c>
      <c r="D4" s="5">
        <v>15188</v>
      </c>
      <c r="E4" s="5">
        <v>16450</v>
      </c>
      <c r="F4" s="5">
        <v>16933</v>
      </c>
      <c r="G4" s="5">
        <v>18270</v>
      </c>
      <c r="H4" s="5">
        <v>12957</v>
      </c>
      <c r="I4" s="5">
        <v>14525</v>
      </c>
      <c r="J4" s="5">
        <v>14850</v>
      </c>
      <c r="K4" s="5">
        <v>13523</v>
      </c>
      <c r="L4" s="5">
        <v>13548</v>
      </c>
      <c r="M4" s="5">
        <v>12936</v>
      </c>
    </row>
    <row r="5" spans="1:13" x14ac:dyDescent="0.45">
      <c r="A5" t="s">
        <v>235</v>
      </c>
      <c r="B5" s="5">
        <v>11698</v>
      </c>
      <c r="C5" s="5">
        <v>7733</v>
      </c>
      <c r="D5" s="5">
        <v>8334</v>
      </c>
      <c r="E5" s="5">
        <v>9122</v>
      </c>
      <c r="F5" s="5">
        <v>9126</v>
      </c>
      <c r="G5" s="5">
        <v>9800</v>
      </c>
      <c r="H5" s="5">
        <v>5768</v>
      </c>
      <c r="I5" s="5">
        <v>6715</v>
      </c>
      <c r="J5" s="5">
        <v>7496</v>
      </c>
      <c r="K5" s="5">
        <v>7950</v>
      </c>
      <c r="L5" s="5">
        <v>8364</v>
      </c>
      <c r="M5" s="5">
        <v>8353</v>
      </c>
    </row>
    <row r="6" spans="1:13" x14ac:dyDescent="0.45">
      <c r="A6" t="s">
        <v>236</v>
      </c>
      <c r="B6" s="6">
        <v>0.12570000000000001</v>
      </c>
      <c r="C6" s="6">
        <v>0.1032</v>
      </c>
      <c r="D6" s="6">
        <v>0.11210000000000001</v>
      </c>
      <c r="E6" s="6">
        <v>0.12379999999999999</v>
      </c>
      <c r="F6" s="6">
        <v>0.13220000000000001</v>
      </c>
      <c r="G6" s="6">
        <v>0.14460000000000001</v>
      </c>
      <c r="H6" s="6">
        <v>0.10829999999999999</v>
      </c>
      <c r="I6" s="6">
        <v>0.1489</v>
      </c>
      <c r="J6" s="6">
        <v>0.30499999999999999</v>
      </c>
      <c r="K6" s="6" t="s">
        <v>237</v>
      </c>
      <c r="L6" s="6">
        <v>0.29699999999999999</v>
      </c>
      <c r="M6" s="6">
        <v>0.29530000000000001</v>
      </c>
    </row>
    <row r="7" spans="1:13" x14ac:dyDescent="0.45">
      <c r="A7" t="s">
        <v>238</v>
      </c>
      <c r="B7" s="6">
        <v>7.8799999999999995E-2</v>
      </c>
      <c r="C7" s="6">
        <v>5.5199999999999999E-2</v>
      </c>
      <c r="D7" s="6">
        <v>6.1499999999999999E-2</v>
      </c>
      <c r="E7" s="6">
        <v>6.8699999999999997E-2</v>
      </c>
      <c r="F7" s="6">
        <v>7.1199999999999999E-2</v>
      </c>
      <c r="G7" s="6">
        <v>7.7499999999999999E-2</v>
      </c>
      <c r="H7" s="6">
        <v>4.82E-2</v>
      </c>
      <c r="I7" s="6">
        <v>6.88E-2</v>
      </c>
      <c r="J7" s="6">
        <v>0.15390000000000001</v>
      </c>
      <c r="K7" s="6">
        <v>0.17949999999999999</v>
      </c>
      <c r="L7" s="6">
        <v>0.18329999999999999</v>
      </c>
      <c r="M7" s="6">
        <v>0.19070000000000001</v>
      </c>
    </row>
    <row r="8" spans="1:13" x14ac:dyDescent="0.45">
      <c r="A8" t="s">
        <v>239</v>
      </c>
      <c r="B8" s="6">
        <v>0.74660000000000004</v>
      </c>
      <c r="C8" s="6">
        <v>0.76659999999999995</v>
      </c>
      <c r="D8" s="6">
        <v>0.71709999999999996</v>
      </c>
      <c r="E8" s="6">
        <v>0.72399999999999998</v>
      </c>
      <c r="F8" s="6">
        <v>0.73360000000000003</v>
      </c>
      <c r="G8" s="6">
        <v>0.68869999999999998</v>
      </c>
      <c r="H8" s="6">
        <v>0.58850000000000002</v>
      </c>
      <c r="I8" s="6">
        <v>0.67100000000000004</v>
      </c>
      <c r="J8" s="6">
        <v>0.59909999999999997</v>
      </c>
      <c r="K8" s="6">
        <v>0.61429999999999996</v>
      </c>
      <c r="L8" s="6">
        <v>0.65549999999999997</v>
      </c>
      <c r="M8" s="6">
        <v>0.70209999999999995</v>
      </c>
    </row>
    <row r="9" spans="1:13" x14ac:dyDescent="0.45">
      <c r="B9" s="6"/>
      <c r="C9" s="6"/>
      <c r="D9" s="6"/>
      <c r="E9" s="6"/>
      <c r="F9" s="6"/>
      <c r="G9" s="6"/>
      <c r="H9" s="6"/>
      <c r="I9" s="6"/>
      <c r="J9" s="6"/>
      <c r="K9" s="6"/>
      <c r="L9" s="6"/>
      <c r="M9" s="6"/>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5"/>
  <sheetViews>
    <sheetView workbookViewId="0"/>
  </sheetViews>
  <sheetFormatPr defaultRowHeight="17" x14ac:dyDescent="0.45"/>
  <sheetData>
    <row r="1" spans="1:4" x14ac:dyDescent="0.45">
      <c r="A1" t="s">
        <v>1</v>
      </c>
      <c r="B1" t="s">
        <v>78</v>
      </c>
      <c r="C1" t="s">
        <v>57</v>
      </c>
      <c r="D1" t="s">
        <v>240</v>
      </c>
    </row>
    <row r="2" spans="1:4" x14ac:dyDescent="0.45">
      <c r="A2" t="s">
        <v>59</v>
      </c>
      <c r="B2" t="s">
        <v>60</v>
      </c>
      <c r="C2" t="s">
        <v>61</v>
      </c>
      <c r="D2" t="s">
        <v>62</v>
      </c>
    </row>
    <row r="3" spans="1:4" x14ac:dyDescent="0.45">
      <c r="A3" t="s">
        <v>63</v>
      </c>
      <c r="B3" t="s">
        <v>241</v>
      </c>
      <c r="C3" t="s">
        <v>65</v>
      </c>
      <c r="D3">
        <v>41234</v>
      </c>
    </row>
    <row r="4" spans="1:4" x14ac:dyDescent="0.45">
      <c r="A4" t="s">
        <v>66</v>
      </c>
      <c r="B4" t="s">
        <v>242</v>
      </c>
      <c r="C4" t="s">
        <v>67</v>
      </c>
      <c r="D4" t="s">
        <v>243</v>
      </c>
    </row>
    <row r="5" spans="1:4" x14ac:dyDescent="0.45">
      <c r="A5" t="s">
        <v>68</v>
      </c>
      <c r="B5" t="s">
        <v>244</v>
      </c>
      <c r="C5" t="s">
        <v>70</v>
      </c>
      <c r="D5" t="s">
        <v>245</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8"/>
  <sheetViews>
    <sheetView workbookViewId="0">
      <selection activeCell="C8" sqref="C8"/>
    </sheetView>
  </sheetViews>
  <sheetFormatPr defaultRowHeight="17" x14ac:dyDescent="0.45"/>
  <sheetData>
    <row r="1" spans="1:5" x14ac:dyDescent="0.45">
      <c r="A1" t="s">
        <v>72</v>
      </c>
      <c r="B1" t="s">
        <v>73</v>
      </c>
      <c r="C1" t="s">
        <v>74</v>
      </c>
      <c r="D1" t="s">
        <v>75</v>
      </c>
      <c r="E1" t="s">
        <v>34</v>
      </c>
    </row>
    <row r="2" spans="1:5" x14ac:dyDescent="0.45">
      <c r="A2" t="s">
        <v>76</v>
      </c>
      <c r="B2" s="5">
        <v>60000</v>
      </c>
      <c r="C2" s="5">
        <v>300000000</v>
      </c>
      <c r="D2">
        <f>B2/B8</f>
        <v>0.3</v>
      </c>
      <c r="E2" t="s">
        <v>246</v>
      </c>
    </row>
    <row r="3" spans="1:5" x14ac:dyDescent="0.45">
      <c r="A3" t="s">
        <v>247</v>
      </c>
      <c r="B3" s="5">
        <v>60000</v>
      </c>
      <c r="C3" s="5">
        <v>300000000</v>
      </c>
      <c r="D3">
        <f>B3/B8</f>
        <v>0.3</v>
      </c>
      <c r="E3" t="s">
        <v>246</v>
      </c>
    </row>
    <row r="4" spans="1:5" x14ac:dyDescent="0.45">
      <c r="A4" t="s">
        <v>248</v>
      </c>
      <c r="B4" s="5">
        <v>50000</v>
      </c>
      <c r="C4" s="5">
        <v>250000000</v>
      </c>
      <c r="D4">
        <f>B4/B8</f>
        <v>0.25</v>
      </c>
      <c r="E4" t="s">
        <v>17</v>
      </c>
    </row>
    <row r="5" spans="1:5" x14ac:dyDescent="0.45">
      <c r="A5" t="s">
        <v>79</v>
      </c>
      <c r="B5" s="5">
        <v>18000</v>
      </c>
      <c r="C5" s="5">
        <v>90000000</v>
      </c>
      <c r="D5">
        <f>B5/B8</f>
        <v>0.09</v>
      </c>
      <c r="E5" t="s">
        <v>249</v>
      </c>
    </row>
    <row r="6" spans="1:5" x14ac:dyDescent="0.45">
      <c r="A6" t="s">
        <v>250</v>
      </c>
      <c r="B6" s="5">
        <v>10000</v>
      </c>
      <c r="C6" s="5">
        <v>50000000</v>
      </c>
      <c r="D6">
        <f>B6/B8</f>
        <v>0.05</v>
      </c>
      <c r="E6" t="s">
        <v>249</v>
      </c>
    </row>
    <row r="7" spans="1:5" x14ac:dyDescent="0.45">
      <c r="A7" t="s">
        <v>251</v>
      </c>
      <c r="B7" s="5">
        <v>2000</v>
      </c>
      <c r="C7" s="5">
        <v>10000000</v>
      </c>
      <c r="D7">
        <f>B7/B8</f>
        <v>0.01</v>
      </c>
      <c r="E7" t="s">
        <v>17</v>
      </c>
    </row>
    <row r="8" spans="1:5" x14ac:dyDescent="0.45">
      <c r="A8" t="s">
        <v>56</v>
      </c>
      <c r="B8" s="5">
        <f>SUM(B2:B7)</f>
        <v>200000</v>
      </c>
      <c r="C8" s="5">
        <f>SUM(C2:C7)</f>
        <v>1000000000</v>
      </c>
      <c r="D8">
        <f>SUM(D2:D7)</f>
        <v>1</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5"/>
  <sheetViews>
    <sheetView workbookViewId="0">
      <selection sqref="A1:E1"/>
    </sheetView>
  </sheetViews>
  <sheetFormatPr defaultRowHeight="17" x14ac:dyDescent="0.45"/>
  <sheetData>
    <row r="1" spans="1:5" x14ac:dyDescent="0.45">
      <c r="A1" t="s">
        <v>252</v>
      </c>
      <c r="B1">
        <v>2021.12</v>
      </c>
      <c r="C1">
        <v>2022.12</v>
      </c>
      <c r="D1">
        <v>2023.12</v>
      </c>
      <c r="E1">
        <v>2024.06</v>
      </c>
    </row>
    <row r="2" spans="1:5" x14ac:dyDescent="0.45">
      <c r="A2" t="s">
        <v>87</v>
      </c>
      <c r="B2" s="5">
        <v>165531</v>
      </c>
      <c r="C2" s="5">
        <v>141542</v>
      </c>
      <c r="D2" s="5">
        <v>140696</v>
      </c>
      <c r="E2" s="5">
        <v>145523</v>
      </c>
    </row>
    <row r="3" spans="1:5" x14ac:dyDescent="0.45">
      <c r="A3" t="s">
        <v>88</v>
      </c>
      <c r="B3" s="5">
        <v>10193</v>
      </c>
      <c r="C3" s="5">
        <v>3453</v>
      </c>
      <c r="D3" s="5">
        <v>5823</v>
      </c>
      <c r="E3" s="5">
        <v>6284</v>
      </c>
    </row>
    <row r="4" spans="1:5" x14ac:dyDescent="0.45">
      <c r="A4" t="s">
        <v>37</v>
      </c>
      <c r="B4" s="5">
        <v>142941</v>
      </c>
      <c r="C4" s="5">
        <v>123508</v>
      </c>
      <c r="D4" s="5">
        <v>118807</v>
      </c>
      <c r="E4" s="5">
        <v>124985</v>
      </c>
    </row>
    <row r="5" spans="1:5" x14ac:dyDescent="0.45">
      <c r="A5" t="s">
        <v>89</v>
      </c>
      <c r="B5" s="5">
        <v>151348</v>
      </c>
      <c r="C5" s="5">
        <v>131670</v>
      </c>
      <c r="D5" s="5">
        <v>124576</v>
      </c>
      <c r="E5" s="5">
        <v>135187</v>
      </c>
    </row>
    <row r="6" spans="1:5" x14ac:dyDescent="0.45">
      <c r="A6" t="s">
        <v>90</v>
      </c>
      <c r="B6" s="5">
        <v>-8407</v>
      </c>
      <c r="C6" s="5">
        <v>-8161</v>
      </c>
      <c r="D6" s="5">
        <v>-5769</v>
      </c>
      <c r="E6" s="5">
        <v>-10202</v>
      </c>
    </row>
    <row r="7" spans="1:5" x14ac:dyDescent="0.45">
      <c r="A7" t="s">
        <v>91</v>
      </c>
      <c r="B7" s="5">
        <v>12397</v>
      </c>
      <c r="C7" s="5">
        <v>14581</v>
      </c>
      <c r="D7" s="5">
        <v>16066</v>
      </c>
      <c r="E7" s="5">
        <v>14255</v>
      </c>
    </row>
    <row r="8" spans="1:5" x14ac:dyDescent="0.45">
      <c r="A8" t="s">
        <v>92</v>
      </c>
      <c r="B8" s="5">
        <v>130980</v>
      </c>
      <c r="C8" s="5">
        <v>100804</v>
      </c>
      <c r="D8" s="5">
        <v>100234</v>
      </c>
      <c r="E8" s="5">
        <v>107719</v>
      </c>
    </row>
    <row r="9" spans="1:5" x14ac:dyDescent="0.45">
      <c r="A9" t="s">
        <v>93</v>
      </c>
      <c r="B9" s="5">
        <v>127392</v>
      </c>
      <c r="C9" s="5">
        <v>96459</v>
      </c>
      <c r="D9" s="5">
        <v>97087</v>
      </c>
      <c r="E9" s="5">
        <v>104805</v>
      </c>
    </row>
    <row r="10" spans="1:5" x14ac:dyDescent="0.45">
      <c r="A10" t="s">
        <v>94</v>
      </c>
      <c r="B10" s="5">
        <v>3588</v>
      </c>
      <c r="C10" s="5">
        <v>4345</v>
      </c>
      <c r="D10" s="5">
        <v>3147</v>
      </c>
      <c r="E10" s="5">
        <v>2913</v>
      </c>
    </row>
    <row r="11" spans="1:5" x14ac:dyDescent="0.45">
      <c r="A11" t="s">
        <v>95</v>
      </c>
      <c r="B11" s="5">
        <v>34552</v>
      </c>
      <c r="C11" s="5">
        <v>40738</v>
      </c>
      <c r="D11" s="5">
        <v>40462</v>
      </c>
      <c r="E11" s="5">
        <v>37805</v>
      </c>
    </row>
    <row r="12" spans="1:5" x14ac:dyDescent="0.45">
      <c r="A12" t="s">
        <v>35</v>
      </c>
      <c r="B12" s="5">
        <v>1000</v>
      </c>
      <c r="C12" s="5">
        <v>1000</v>
      </c>
      <c r="D12" s="5">
        <v>1000</v>
      </c>
      <c r="E12" s="5">
        <v>1000</v>
      </c>
    </row>
    <row r="13" spans="1:5" x14ac:dyDescent="0.45">
      <c r="A13" t="s">
        <v>97</v>
      </c>
      <c r="B13" s="5">
        <v>33522</v>
      </c>
      <c r="C13" s="5">
        <v>39738</v>
      </c>
      <c r="D13" s="5">
        <v>39462</v>
      </c>
      <c r="E13" s="5">
        <v>36805</v>
      </c>
    </row>
    <row r="14" spans="1:5" x14ac:dyDescent="0.45">
      <c r="B14" s="5"/>
      <c r="C14" s="5"/>
      <c r="D14" s="5"/>
      <c r="E14" s="5"/>
    </row>
    <row r="15" spans="1:5" x14ac:dyDescent="0.45">
      <c r="B15" s="5"/>
      <c r="C15" s="5"/>
      <c r="D15" s="5"/>
      <c r="E15" s="5"/>
    </row>
  </sheetData>
  <phoneticPr fontId="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7"/>
  <sheetViews>
    <sheetView tabSelected="1" workbookViewId="0">
      <selection activeCell="G11" sqref="G11"/>
    </sheetView>
  </sheetViews>
  <sheetFormatPr defaultRowHeight="17" x14ac:dyDescent="0.45"/>
  <sheetData>
    <row r="1" spans="1:5" x14ac:dyDescent="0.45">
      <c r="A1" t="s">
        <v>252</v>
      </c>
      <c r="B1">
        <v>2021.12</v>
      </c>
      <c r="C1">
        <v>2022.12</v>
      </c>
      <c r="D1">
        <v>2023.12</v>
      </c>
      <c r="E1">
        <v>2024.06</v>
      </c>
    </row>
    <row r="2" spans="1:5" x14ac:dyDescent="0.45">
      <c r="A2" t="s">
        <v>99</v>
      </c>
      <c r="B2" s="5">
        <v>32837</v>
      </c>
      <c r="C2" s="5">
        <v>31793</v>
      </c>
      <c r="D2" s="5">
        <v>24709</v>
      </c>
      <c r="E2" s="5">
        <v>10841</v>
      </c>
    </row>
    <row r="3" spans="1:5" x14ac:dyDescent="0.45">
      <c r="A3" t="s">
        <v>100</v>
      </c>
      <c r="B3" s="5">
        <v>29743</v>
      </c>
      <c r="C3" s="5">
        <v>29324</v>
      </c>
      <c r="D3" s="5">
        <v>22704</v>
      </c>
      <c r="E3" s="5">
        <v>10841</v>
      </c>
    </row>
    <row r="4" spans="1:5" x14ac:dyDescent="0.45">
      <c r="A4" t="s">
        <v>253</v>
      </c>
      <c r="B4" s="5">
        <v>1565</v>
      </c>
      <c r="C4" s="5">
        <v>1756</v>
      </c>
      <c r="D4" s="5">
        <v>1965</v>
      </c>
      <c r="E4" s="5" t="s">
        <v>17</v>
      </c>
    </row>
    <row r="5" spans="1:5" x14ac:dyDescent="0.45">
      <c r="A5" t="s">
        <v>254</v>
      </c>
      <c r="B5" s="5">
        <v>1529</v>
      </c>
      <c r="C5" s="5">
        <v>713</v>
      </c>
      <c r="D5" s="5">
        <v>41</v>
      </c>
      <c r="E5" s="5" t="s">
        <v>17</v>
      </c>
    </row>
    <row r="6" spans="1:5" x14ac:dyDescent="0.45">
      <c r="A6" t="s">
        <v>102</v>
      </c>
      <c r="B6" s="5">
        <v>21727</v>
      </c>
      <c r="C6" s="5">
        <v>24214</v>
      </c>
      <c r="D6" s="5">
        <v>23515</v>
      </c>
      <c r="E6" s="5">
        <v>12500</v>
      </c>
    </row>
    <row r="7" spans="1:5" x14ac:dyDescent="0.45">
      <c r="A7" t="s">
        <v>103</v>
      </c>
      <c r="B7" s="5">
        <v>7153</v>
      </c>
      <c r="C7" s="5">
        <v>7321</v>
      </c>
      <c r="D7" s="5">
        <v>7221</v>
      </c>
      <c r="E7" s="5">
        <v>3666</v>
      </c>
    </row>
    <row r="8" spans="1:5" x14ac:dyDescent="0.45">
      <c r="A8" t="s">
        <v>255</v>
      </c>
      <c r="B8" s="5">
        <v>5294</v>
      </c>
      <c r="C8" s="5">
        <v>7391</v>
      </c>
      <c r="D8" s="5">
        <v>8951</v>
      </c>
      <c r="E8" s="5">
        <v>4515</v>
      </c>
    </row>
    <row r="9" spans="1:5" x14ac:dyDescent="0.45">
      <c r="A9" t="s">
        <v>256</v>
      </c>
      <c r="B9" s="5">
        <v>3163</v>
      </c>
      <c r="C9" s="5">
        <v>1895</v>
      </c>
      <c r="D9" s="5">
        <v>1007</v>
      </c>
      <c r="E9" s="5">
        <v>1023</v>
      </c>
    </row>
    <row r="10" spans="1:5" x14ac:dyDescent="0.45">
      <c r="A10" t="s">
        <v>257</v>
      </c>
      <c r="B10" s="5">
        <v>6116</v>
      </c>
      <c r="C10" s="5">
        <v>7573</v>
      </c>
      <c r="D10" s="5">
        <v>6304</v>
      </c>
      <c r="E10" s="5">
        <v>3297</v>
      </c>
    </row>
    <row r="11" spans="1:5" x14ac:dyDescent="0.45">
      <c r="A11" t="s">
        <v>258</v>
      </c>
      <c r="B11" s="5" t="s">
        <v>17</v>
      </c>
      <c r="C11" s="5">
        <v>26</v>
      </c>
      <c r="D11" s="5">
        <v>23</v>
      </c>
      <c r="E11" s="5" t="s">
        <v>17</v>
      </c>
    </row>
    <row r="12" spans="1:5" x14ac:dyDescent="0.45">
      <c r="A12" t="s">
        <v>259</v>
      </c>
      <c r="B12" s="5" t="s">
        <v>17</v>
      </c>
      <c r="C12" s="5">
        <v>7</v>
      </c>
      <c r="D12" s="5">
        <v>8</v>
      </c>
      <c r="E12" s="5" t="s">
        <v>17</v>
      </c>
    </row>
    <row r="13" spans="1:5" x14ac:dyDescent="0.45">
      <c r="A13" t="s">
        <v>108</v>
      </c>
      <c r="B13" s="5">
        <v>11111</v>
      </c>
      <c r="C13" s="5">
        <v>7579</v>
      </c>
      <c r="D13" s="5">
        <v>1194</v>
      </c>
      <c r="E13" s="5">
        <v>-1659</v>
      </c>
    </row>
    <row r="14" spans="1:5" x14ac:dyDescent="0.45">
      <c r="A14" t="s">
        <v>109</v>
      </c>
      <c r="B14" s="5">
        <v>-4</v>
      </c>
      <c r="C14" s="5">
        <v>1588</v>
      </c>
      <c r="D14" s="5">
        <v>14</v>
      </c>
      <c r="E14" s="5">
        <v>2</v>
      </c>
    </row>
    <row r="15" spans="1:5" x14ac:dyDescent="0.45">
      <c r="A15" t="s">
        <v>110</v>
      </c>
      <c r="B15" s="5">
        <v>11106</v>
      </c>
      <c r="C15" s="5">
        <v>9167</v>
      </c>
      <c r="D15" s="5">
        <v>1208</v>
      </c>
      <c r="E15" s="5">
        <v>-1657</v>
      </c>
    </row>
    <row r="16" spans="1:5" x14ac:dyDescent="0.45">
      <c r="A16" t="s">
        <v>112</v>
      </c>
      <c r="B16" s="5">
        <v>8680</v>
      </c>
      <c r="C16" s="5">
        <v>7186</v>
      </c>
      <c r="D16" s="5">
        <v>724</v>
      </c>
      <c r="E16" s="5">
        <v>-1657</v>
      </c>
    </row>
    <row r="17" spans="1:1" x14ac:dyDescent="0.45">
      <c r="A17" t="s">
        <v>260</v>
      </c>
    </row>
  </sheetData>
  <phoneticPr fontId="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selection activeCell="D14" sqref="D14"/>
    </sheetView>
  </sheetViews>
  <sheetFormatPr defaultRowHeight="17" x14ac:dyDescent="0.45"/>
  <sheetData>
    <row r="1" spans="1:5" x14ac:dyDescent="0.45">
      <c r="A1" t="s">
        <v>33</v>
      </c>
      <c r="B1" t="s">
        <v>85</v>
      </c>
      <c r="C1" t="s">
        <v>86</v>
      </c>
      <c r="D1">
        <v>2023.12</v>
      </c>
      <c r="E1" t="s">
        <v>114</v>
      </c>
    </row>
    <row r="2" spans="1:5" x14ac:dyDescent="0.45">
      <c r="A2" t="s">
        <v>115</v>
      </c>
      <c r="B2" s="7">
        <v>0.21690000000000001</v>
      </c>
      <c r="C2" s="8">
        <v>-0.1449</v>
      </c>
      <c r="D2" s="8">
        <v>-6.0000000000000001E-3</v>
      </c>
      <c r="E2" t="s">
        <v>116</v>
      </c>
    </row>
    <row r="3" spans="1:5" x14ac:dyDescent="0.45">
      <c r="A3" t="s">
        <v>117</v>
      </c>
      <c r="B3" s="7">
        <v>0.186</v>
      </c>
      <c r="C3" s="8">
        <v>-0.13600000000000001</v>
      </c>
      <c r="D3" s="8">
        <v>-3.8100000000000002E-2</v>
      </c>
      <c r="E3" t="s">
        <v>118</v>
      </c>
    </row>
    <row r="4" spans="1:5" x14ac:dyDescent="0.45">
      <c r="A4" t="s">
        <v>119</v>
      </c>
      <c r="B4" s="9">
        <v>0.2087</v>
      </c>
      <c r="C4" s="9">
        <v>0.2878</v>
      </c>
      <c r="D4" s="9">
        <v>0.28760000000000002</v>
      </c>
      <c r="E4" t="s">
        <v>120</v>
      </c>
    </row>
    <row r="5" spans="1:5" x14ac:dyDescent="0.45">
      <c r="A5" t="s">
        <v>121</v>
      </c>
      <c r="B5" s="1">
        <v>6.7100000000000007E-2</v>
      </c>
      <c r="C5" s="1">
        <v>6.4799999999999996E-2</v>
      </c>
      <c r="D5" s="1">
        <v>8.6E-3</v>
      </c>
      <c r="E5" t="s">
        <v>122</v>
      </c>
    </row>
    <row r="6" spans="1:5" x14ac:dyDescent="0.45">
      <c r="A6" t="s">
        <v>123</v>
      </c>
      <c r="B6" s="1">
        <v>5.2400000000000002E-2</v>
      </c>
      <c r="C6" s="1">
        <v>5.0799999999999998E-2</v>
      </c>
      <c r="D6" s="1">
        <v>5.1000000000000004E-3</v>
      </c>
      <c r="E6" t="s">
        <v>124</v>
      </c>
    </row>
    <row r="7" spans="1:5" x14ac:dyDescent="0.45">
      <c r="A7" t="s">
        <v>125</v>
      </c>
      <c r="B7" s="1">
        <v>0.25119999999999998</v>
      </c>
      <c r="C7" s="1">
        <v>0.1764</v>
      </c>
      <c r="D7" s="1">
        <v>1.7899999999999999E-2</v>
      </c>
      <c r="E7" t="s">
        <v>126</v>
      </c>
    </row>
    <row r="8" spans="1:5" x14ac:dyDescent="0.45">
      <c r="A8" t="s">
        <v>127</v>
      </c>
      <c r="B8" s="1">
        <v>0.33839999999999998</v>
      </c>
      <c r="C8" s="1">
        <v>0.2384</v>
      </c>
      <c r="D8" s="1">
        <v>4.8300000000000003E-2</v>
      </c>
      <c r="E8" t="s">
        <v>128</v>
      </c>
    </row>
    <row r="9" spans="1:5" x14ac:dyDescent="0.45">
      <c r="A9" t="s">
        <v>129</v>
      </c>
      <c r="B9" s="1">
        <v>0.26429999999999998</v>
      </c>
      <c r="C9" s="1">
        <v>0.22600000000000001</v>
      </c>
      <c r="D9" s="1">
        <v>2.93E-2</v>
      </c>
      <c r="E9" t="s">
        <v>130</v>
      </c>
    </row>
    <row r="10" spans="1:5" x14ac:dyDescent="0.45">
      <c r="A10" t="s">
        <v>131</v>
      </c>
      <c r="B10" s="10">
        <v>140644</v>
      </c>
      <c r="C10" s="2">
        <v>141509</v>
      </c>
      <c r="D10" s="2">
        <v>128123</v>
      </c>
      <c r="E10" t="s">
        <v>132</v>
      </c>
    </row>
    <row r="11" spans="1:5" x14ac:dyDescent="0.45">
      <c r="A11" t="s">
        <v>133</v>
      </c>
      <c r="B11" s="7">
        <v>0.21149999999999999</v>
      </c>
      <c r="C11" s="7">
        <v>0.2072</v>
      </c>
      <c r="D11" s="7">
        <v>0.1772</v>
      </c>
      <c r="E11" t="s">
        <v>134</v>
      </c>
    </row>
    <row r="12" spans="1:5" x14ac:dyDescent="0.45">
      <c r="A12" t="s">
        <v>135</v>
      </c>
      <c r="B12" s="11">
        <v>5.0999999999999997E-2</v>
      </c>
      <c r="C12" s="11">
        <v>5.1999999999999998E-2</v>
      </c>
      <c r="D12" s="11">
        <v>5.6000000000000001E-2</v>
      </c>
      <c r="E12" t="s">
        <v>136</v>
      </c>
    </row>
    <row r="13" spans="1:5" x14ac:dyDescent="0.45">
      <c r="A13" t="s">
        <v>137</v>
      </c>
      <c r="B13" s="11">
        <v>3.7999999999999999E-2</v>
      </c>
      <c r="C13" s="11">
        <v>5.1999999999999998E-2</v>
      </c>
      <c r="D13" s="11">
        <v>7.0000000000000007E-2</v>
      </c>
      <c r="E13" t="s">
        <v>138</v>
      </c>
    </row>
    <row r="14" spans="1:5" x14ac:dyDescent="0.45">
      <c r="A14" t="s">
        <v>139</v>
      </c>
      <c r="B14" s="12">
        <v>2.2499999999999999E-2</v>
      </c>
      <c r="C14" s="12">
        <v>1.34E-2</v>
      </c>
      <c r="D14" s="12">
        <v>7.9000000000000008E-3</v>
      </c>
      <c r="E14" t="s">
        <v>140</v>
      </c>
    </row>
    <row r="15" spans="1:5" x14ac:dyDescent="0.45">
      <c r="A15" t="s">
        <v>261</v>
      </c>
      <c r="B15" s="12">
        <v>4.3499999999999997E-2</v>
      </c>
      <c r="C15" s="12">
        <v>5.3499999999999999E-2</v>
      </c>
      <c r="D15" s="12">
        <v>4.9200000000000001E-2</v>
      </c>
      <c r="E15" t="s">
        <v>141</v>
      </c>
    </row>
    <row r="16" spans="1:5" x14ac:dyDescent="0.45">
      <c r="A16" t="s">
        <v>142</v>
      </c>
      <c r="B16" s="1">
        <v>5.5500000000000001E-2</v>
      </c>
      <c r="C16" s="1">
        <v>3.5000000000000003E-2</v>
      </c>
      <c r="D16" s="1">
        <v>-7.1999999999999998E-3</v>
      </c>
    </row>
    <row r="17" spans="2:4" x14ac:dyDescent="0.45">
      <c r="B17" s="9"/>
      <c r="C17" s="9"/>
      <c r="D17" s="9"/>
    </row>
  </sheetData>
  <phoneticPr fontId="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
  <sheetViews>
    <sheetView workbookViewId="0">
      <selection activeCell="J1" sqref="J1"/>
    </sheetView>
  </sheetViews>
  <sheetFormatPr defaultRowHeight="17" x14ac:dyDescent="0.45"/>
  <sheetData>
    <row r="1" spans="1:6" x14ac:dyDescent="0.45">
      <c r="A1" t="s">
        <v>150</v>
      </c>
      <c r="B1" t="s">
        <v>262</v>
      </c>
      <c r="C1" t="s">
        <v>152</v>
      </c>
      <c r="D1" t="s">
        <v>10</v>
      </c>
      <c r="E1" t="s">
        <v>23</v>
      </c>
      <c r="F1" t="s">
        <v>114</v>
      </c>
    </row>
    <row r="2" spans="1:6" x14ac:dyDescent="0.45">
      <c r="A2" t="s">
        <v>263</v>
      </c>
      <c r="B2" t="s">
        <v>264</v>
      </c>
      <c r="C2" t="s">
        <v>265</v>
      </c>
      <c r="D2" t="s">
        <v>266</v>
      </c>
      <c r="E2" t="s">
        <v>267</v>
      </c>
      <c r="F2" t="s">
        <v>268</v>
      </c>
    </row>
  </sheetData>
  <phoneticPr fontId="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1"/>
  <sheetViews>
    <sheetView workbookViewId="0"/>
  </sheetViews>
  <sheetFormatPr defaultRowHeight="17" x14ac:dyDescent="0.45"/>
  <sheetData>
    <row r="1" spans="1:13" x14ac:dyDescent="0.45">
      <c r="A1" t="s">
        <v>33</v>
      </c>
      <c r="B1">
        <v>23.07</v>
      </c>
      <c r="C1">
        <v>23.08</v>
      </c>
      <c r="D1">
        <v>23.09</v>
      </c>
      <c r="E1">
        <v>23.1</v>
      </c>
      <c r="F1">
        <v>23.11</v>
      </c>
      <c r="G1">
        <v>23.12</v>
      </c>
      <c r="H1">
        <v>24.01</v>
      </c>
      <c r="I1">
        <v>24.02</v>
      </c>
      <c r="J1">
        <v>24.03</v>
      </c>
      <c r="K1">
        <v>24.04</v>
      </c>
      <c r="L1">
        <v>24.05</v>
      </c>
      <c r="M1">
        <v>24.06</v>
      </c>
    </row>
    <row r="2" spans="1:13" x14ac:dyDescent="0.45">
      <c r="A2" t="s">
        <v>87</v>
      </c>
      <c r="B2">
        <v>136928</v>
      </c>
      <c r="C2">
        <v>143492</v>
      </c>
      <c r="D2">
        <v>141774</v>
      </c>
      <c r="E2">
        <v>135959</v>
      </c>
      <c r="F2">
        <v>140352</v>
      </c>
      <c r="G2">
        <v>140696</v>
      </c>
      <c r="H2">
        <v>137450</v>
      </c>
      <c r="I2">
        <v>137030</v>
      </c>
      <c r="J2">
        <v>143548</v>
      </c>
      <c r="K2">
        <v>143494</v>
      </c>
      <c r="L2">
        <v>150213</v>
      </c>
      <c r="M2">
        <v>145523</v>
      </c>
    </row>
    <row r="3" spans="1:13" x14ac:dyDescent="0.45">
      <c r="A3" t="s">
        <v>92</v>
      </c>
      <c r="B3">
        <v>97203</v>
      </c>
      <c r="C3" t="s">
        <v>269</v>
      </c>
      <c r="D3">
        <v>101902</v>
      </c>
      <c r="E3">
        <v>95674</v>
      </c>
      <c r="F3">
        <v>100041</v>
      </c>
      <c r="G3">
        <v>100234</v>
      </c>
      <c r="H3">
        <v>97225</v>
      </c>
      <c r="I3">
        <v>97695</v>
      </c>
      <c r="J3">
        <v>105405</v>
      </c>
      <c r="K3">
        <v>105507</v>
      </c>
      <c r="L3">
        <v>112293</v>
      </c>
      <c r="M3">
        <v>107719</v>
      </c>
    </row>
    <row r="4" spans="1:13" x14ac:dyDescent="0.45">
      <c r="A4" t="s">
        <v>95</v>
      </c>
      <c r="B4">
        <v>39726</v>
      </c>
      <c r="C4">
        <v>39550</v>
      </c>
      <c r="D4">
        <v>39872</v>
      </c>
      <c r="E4">
        <v>40285</v>
      </c>
      <c r="F4">
        <v>40311</v>
      </c>
      <c r="G4">
        <v>40462</v>
      </c>
      <c r="H4">
        <v>40225</v>
      </c>
      <c r="I4">
        <v>39335</v>
      </c>
      <c r="J4">
        <v>38142</v>
      </c>
      <c r="K4">
        <v>37987</v>
      </c>
      <c r="L4">
        <v>37920</v>
      </c>
      <c r="M4">
        <v>37805</v>
      </c>
    </row>
    <row r="5" spans="1:13" x14ac:dyDescent="0.45">
      <c r="A5" t="s">
        <v>173</v>
      </c>
      <c r="B5">
        <v>1000</v>
      </c>
      <c r="C5">
        <v>1000</v>
      </c>
      <c r="D5">
        <v>1000</v>
      </c>
      <c r="E5">
        <v>1000</v>
      </c>
      <c r="F5">
        <v>1000</v>
      </c>
      <c r="G5">
        <v>1000</v>
      </c>
      <c r="H5">
        <v>1000</v>
      </c>
      <c r="I5">
        <v>1000</v>
      </c>
      <c r="J5">
        <v>1000</v>
      </c>
      <c r="K5">
        <v>1000</v>
      </c>
      <c r="L5">
        <v>1000</v>
      </c>
      <c r="M5">
        <v>1000</v>
      </c>
    </row>
    <row r="6" spans="1:13" x14ac:dyDescent="0.45">
      <c r="A6" t="s">
        <v>174</v>
      </c>
      <c r="B6">
        <v>-12</v>
      </c>
      <c r="C6">
        <v>-188</v>
      </c>
      <c r="D6">
        <v>134</v>
      </c>
      <c r="E6">
        <v>547</v>
      </c>
      <c r="F6">
        <v>573</v>
      </c>
      <c r="G6">
        <v>724</v>
      </c>
      <c r="H6">
        <v>-236</v>
      </c>
      <c r="I6">
        <v>-1127</v>
      </c>
      <c r="J6">
        <v>-1320</v>
      </c>
      <c r="K6">
        <v>-1475</v>
      </c>
      <c r="L6">
        <v>-1542</v>
      </c>
      <c r="M6">
        <v>-1657</v>
      </c>
    </row>
    <row r="7" spans="1:13" x14ac:dyDescent="0.45">
      <c r="A7" t="s">
        <v>175</v>
      </c>
      <c r="B7">
        <v>629</v>
      </c>
      <c r="C7">
        <v>776</v>
      </c>
      <c r="D7">
        <v>505</v>
      </c>
      <c r="E7">
        <v>458</v>
      </c>
      <c r="F7">
        <v>729</v>
      </c>
      <c r="G7">
        <v>743</v>
      </c>
      <c r="H7">
        <v>985</v>
      </c>
      <c r="I7">
        <v>977</v>
      </c>
      <c r="J7">
        <v>1113</v>
      </c>
      <c r="K7">
        <v>1198</v>
      </c>
      <c r="L7">
        <v>1132</v>
      </c>
      <c r="M7">
        <v>1015</v>
      </c>
    </row>
    <row r="8" spans="1:13" x14ac:dyDescent="0.45">
      <c r="A8" t="s">
        <v>176</v>
      </c>
      <c r="B8">
        <v>3821</v>
      </c>
      <c r="C8">
        <v>7373</v>
      </c>
      <c r="D8">
        <v>3499</v>
      </c>
      <c r="E8">
        <v>5399</v>
      </c>
      <c r="F8">
        <v>7786</v>
      </c>
      <c r="G8">
        <v>5035</v>
      </c>
      <c r="H8">
        <v>6697</v>
      </c>
      <c r="I8">
        <v>9449</v>
      </c>
      <c r="J8">
        <v>8714</v>
      </c>
      <c r="K8">
        <v>8566</v>
      </c>
      <c r="L8">
        <v>8482</v>
      </c>
      <c r="M8">
        <v>7127</v>
      </c>
    </row>
    <row r="9" spans="1:13" x14ac:dyDescent="0.45">
      <c r="A9" t="s">
        <v>177</v>
      </c>
      <c r="B9">
        <v>16771</v>
      </c>
      <c r="C9">
        <v>16401</v>
      </c>
      <c r="D9">
        <v>16448</v>
      </c>
      <c r="E9">
        <v>15738</v>
      </c>
      <c r="F9">
        <v>15956</v>
      </c>
      <c r="G9">
        <v>15690</v>
      </c>
      <c r="H9">
        <v>16088</v>
      </c>
      <c r="I9">
        <v>16458</v>
      </c>
      <c r="J9">
        <v>16890</v>
      </c>
      <c r="K9">
        <v>17319</v>
      </c>
      <c r="L9">
        <v>17607</v>
      </c>
      <c r="M9">
        <v>17822</v>
      </c>
    </row>
    <row r="10" spans="1:13" x14ac:dyDescent="0.45">
      <c r="A10" t="s">
        <v>270</v>
      </c>
      <c r="B10">
        <v>129353</v>
      </c>
      <c r="C10">
        <v>128158</v>
      </c>
      <c r="D10">
        <v>127926</v>
      </c>
      <c r="E10">
        <v>123713</v>
      </c>
      <c r="F10">
        <v>127120</v>
      </c>
      <c r="G10">
        <v>124576</v>
      </c>
      <c r="H10">
        <v>125016</v>
      </c>
      <c r="I10">
        <v>125956</v>
      </c>
      <c r="J10">
        <v>129812</v>
      </c>
      <c r="K10">
        <v>131778</v>
      </c>
      <c r="L10">
        <v>134156</v>
      </c>
      <c r="M10">
        <v>135187</v>
      </c>
    </row>
    <row r="11" spans="1:13" x14ac:dyDescent="0.45">
      <c r="A11" t="s">
        <v>178</v>
      </c>
      <c r="B11">
        <v>94252</v>
      </c>
      <c r="C11">
        <v>101134</v>
      </c>
      <c r="D11">
        <v>99106</v>
      </c>
      <c r="E11">
        <v>92879</v>
      </c>
      <c r="F11">
        <v>97243</v>
      </c>
      <c r="G11">
        <v>97087</v>
      </c>
      <c r="H11">
        <v>94082</v>
      </c>
      <c r="I11">
        <v>94808</v>
      </c>
      <c r="J11">
        <v>101483</v>
      </c>
      <c r="K11">
        <v>101709</v>
      </c>
      <c r="L11">
        <v>109378</v>
      </c>
      <c r="M11">
        <v>104805</v>
      </c>
    </row>
  </sheetData>
  <phoneticPr fontId="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4"/>
  <sheetViews>
    <sheetView workbookViewId="0"/>
  </sheetViews>
  <sheetFormatPr defaultRowHeight="17" x14ac:dyDescent="0.45"/>
  <sheetData>
    <row r="1" spans="1:13" x14ac:dyDescent="0.45">
      <c r="A1" t="s">
        <v>33</v>
      </c>
      <c r="B1">
        <v>23.07</v>
      </c>
      <c r="C1">
        <v>23.08</v>
      </c>
      <c r="D1">
        <v>23.09</v>
      </c>
      <c r="E1">
        <v>23.1</v>
      </c>
      <c r="F1">
        <v>23.11</v>
      </c>
      <c r="G1">
        <v>23.12</v>
      </c>
      <c r="H1">
        <v>24.01</v>
      </c>
      <c r="I1">
        <v>24.02</v>
      </c>
      <c r="J1">
        <v>24.03</v>
      </c>
      <c r="K1">
        <v>24.04</v>
      </c>
      <c r="L1">
        <v>24.05</v>
      </c>
      <c r="M1">
        <v>24.06</v>
      </c>
    </row>
    <row r="2" spans="1:13" x14ac:dyDescent="0.45">
      <c r="A2" t="s">
        <v>87</v>
      </c>
      <c r="B2">
        <v>136928</v>
      </c>
      <c r="C2">
        <v>143492</v>
      </c>
      <c r="D2">
        <v>141774</v>
      </c>
      <c r="E2">
        <v>135959</v>
      </c>
      <c r="F2">
        <v>140352</v>
      </c>
      <c r="G2">
        <v>140696</v>
      </c>
      <c r="H2">
        <v>137450</v>
      </c>
      <c r="I2">
        <v>137030</v>
      </c>
      <c r="J2">
        <v>143548</v>
      </c>
      <c r="K2">
        <v>143494</v>
      </c>
      <c r="L2">
        <v>150213</v>
      </c>
      <c r="M2">
        <v>145523</v>
      </c>
    </row>
    <row r="3" spans="1:13" x14ac:dyDescent="0.45">
      <c r="A3" t="s">
        <v>95</v>
      </c>
      <c r="B3">
        <v>39726</v>
      </c>
      <c r="C3">
        <v>39550</v>
      </c>
      <c r="D3">
        <v>39872</v>
      </c>
      <c r="E3">
        <v>40285</v>
      </c>
      <c r="F3">
        <v>40311</v>
      </c>
      <c r="G3">
        <v>40462</v>
      </c>
      <c r="H3">
        <v>40225</v>
      </c>
      <c r="I3">
        <v>39335</v>
      </c>
      <c r="J3">
        <v>38142</v>
      </c>
      <c r="K3">
        <v>37987</v>
      </c>
      <c r="L3">
        <v>37920</v>
      </c>
      <c r="M3">
        <v>37805</v>
      </c>
    </row>
    <row r="4" spans="1:13" x14ac:dyDescent="0.45">
      <c r="A4" t="s">
        <v>194</v>
      </c>
      <c r="B4">
        <v>3.45</v>
      </c>
      <c r="C4">
        <v>3.63</v>
      </c>
      <c r="D4">
        <v>3.56</v>
      </c>
      <c r="E4">
        <v>3.37</v>
      </c>
      <c r="F4">
        <v>3.48</v>
      </c>
      <c r="G4">
        <v>3.48</v>
      </c>
      <c r="H4">
        <v>3.42</v>
      </c>
      <c r="I4">
        <v>3.48</v>
      </c>
      <c r="J4">
        <v>3.76</v>
      </c>
      <c r="K4">
        <v>3.78</v>
      </c>
      <c r="L4">
        <v>3.96</v>
      </c>
      <c r="M4">
        <v>3.85</v>
      </c>
    </row>
  </sheetData>
  <phoneticPr fontId="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9"/>
  <sheetViews>
    <sheetView workbookViewId="0">
      <selection activeCell="H17" sqref="H17"/>
    </sheetView>
  </sheetViews>
  <sheetFormatPr defaultRowHeight="17" x14ac:dyDescent="0.45"/>
  <sheetData>
    <row r="1" spans="1:8" x14ac:dyDescent="0.45">
      <c r="A1" t="s">
        <v>271</v>
      </c>
      <c r="B1" t="s">
        <v>272</v>
      </c>
      <c r="C1" t="s">
        <v>54</v>
      </c>
      <c r="D1" t="s">
        <v>273</v>
      </c>
      <c r="E1" t="s">
        <v>274</v>
      </c>
      <c r="F1" t="s">
        <v>53</v>
      </c>
      <c r="G1" t="s">
        <v>275</v>
      </c>
      <c r="H1" t="s">
        <v>276</v>
      </c>
    </row>
    <row r="2" spans="1:8" x14ac:dyDescent="0.45">
      <c r="A2" t="s">
        <v>277</v>
      </c>
      <c r="B2">
        <v>14125</v>
      </c>
      <c r="C2">
        <v>14090</v>
      </c>
      <c r="D2" s="3">
        <v>4.8599999999999997E-2</v>
      </c>
      <c r="E2">
        <v>45422</v>
      </c>
      <c r="F2">
        <v>46141</v>
      </c>
      <c r="G2" t="s">
        <v>278</v>
      </c>
      <c r="H2" t="s">
        <v>279</v>
      </c>
    </row>
    <row r="3" spans="1:8" x14ac:dyDescent="0.45">
      <c r="A3" t="s">
        <v>280</v>
      </c>
      <c r="B3">
        <v>500</v>
      </c>
      <c r="C3">
        <v>500</v>
      </c>
      <c r="D3" s="3" t="s">
        <v>281</v>
      </c>
      <c r="E3">
        <v>45189</v>
      </c>
      <c r="F3">
        <v>45555</v>
      </c>
      <c r="G3" t="s">
        <v>168</v>
      </c>
      <c r="H3" t="s">
        <v>282</v>
      </c>
    </row>
    <row r="4" spans="1:8" x14ac:dyDescent="0.45">
      <c r="A4" t="s">
        <v>283</v>
      </c>
      <c r="B4">
        <v>3000</v>
      </c>
      <c r="C4">
        <v>2500</v>
      </c>
      <c r="D4" s="3">
        <v>6.2199999999999998E-2</v>
      </c>
      <c r="E4">
        <v>45236</v>
      </c>
      <c r="F4">
        <v>46332</v>
      </c>
      <c r="G4" t="s">
        <v>278</v>
      </c>
      <c r="H4" t="s">
        <v>282</v>
      </c>
    </row>
    <row r="5" spans="1:8" x14ac:dyDescent="0.45">
      <c r="A5" t="s">
        <v>284</v>
      </c>
      <c r="B5">
        <v>17625</v>
      </c>
      <c r="C5">
        <v>17090</v>
      </c>
      <c r="D5" s="3">
        <v>5.1299999999999998E-2</v>
      </c>
    </row>
    <row r="6" spans="1:8" x14ac:dyDescent="0.45">
      <c r="A6" t="s">
        <v>285</v>
      </c>
      <c r="B6">
        <v>5000</v>
      </c>
      <c r="C6">
        <v>833</v>
      </c>
      <c r="D6" s="3">
        <v>0.09</v>
      </c>
      <c r="E6">
        <v>44855</v>
      </c>
      <c r="F6">
        <v>45586</v>
      </c>
      <c r="G6" t="s">
        <v>278</v>
      </c>
      <c r="H6" t="s">
        <v>286</v>
      </c>
    </row>
    <row r="7" spans="1:8" x14ac:dyDescent="0.45">
      <c r="A7" t="s">
        <v>287</v>
      </c>
      <c r="B7">
        <v>2500</v>
      </c>
      <c r="C7">
        <v>2209</v>
      </c>
      <c r="D7" s="3">
        <v>8.2000000000000003E-2</v>
      </c>
      <c r="E7">
        <v>45359</v>
      </c>
      <c r="F7">
        <v>46089</v>
      </c>
      <c r="G7" t="s">
        <v>288</v>
      </c>
      <c r="H7" t="s">
        <v>286</v>
      </c>
    </row>
    <row r="8" spans="1:8" x14ac:dyDescent="0.45">
      <c r="A8" t="s">
        <v>289</v>
      </c>
      <c r="B8">
        <v>7500</v>
      </c>
      <c r="C8">
        <v>3042</v>
      </c>
      <c r="D8" s="3">
        <v>8.4199999999999997E-2</v>
      </c>
    </row>
    <row r="9" spans="1:8" x14ac:dyDescent="0.45">
      <c r="A9" t="s">
        <v>290</v>
      </c>
      <c r="B9">
        <v>1000</v>
      </c>
      <c r="C9">
        <v>111</v>
      </c>
      <c r="D9" s="3">
        <v>9.5000000000000001E-2</v>
      </c>
      <c r="E9">
        <v>44979</v>
      </c>
      <c r="F9">
        <v>45526</v>
      </c>
      <c r="G9" t="s">
        <v>278</v>
      </c>
      <c r="H9" t="s">
        <v>282</v>
      </c>
    </row>
    <row r="10" spans="1:8" x14ac:dyDescent="0.45">
      <c r="B10">
        <v>1000</v>
      </c>
      <c r="C10">
        <v>389</v>
      </c>
      <c r="D10" s="3">
        <v>8.5000000000000006E-2</v>
      </c>
      <c r="E10">
        <v>45119</v>
      </c>
      <c r="F10">
        <v>45669</v>
      </c>
      <c r="G10" t="s">
        <v>278</v>
      </c>
      <c r="H10" t="s">
        <v>282</v>
      </c>
    </row>
    <row r="11" spans="1:8" x14ac:dyDescent="0.45">
      <c r="A11" t="s">
        <v>291</v>
      </c>
      <c r="B11">
        <v>2000</v>
      </c>
      <c r="C11">
        <v>2000</v>
      </c>
      <c r="D11" s="3">
        <v>7.8E-2</v>
      </c>
      <c r="E11">
        <v>45470</v>
      </c>
      <c r="F11">
        <v>46080</v>
      </c>
      <c r="G11" t="s">
        <v>288</v>
      </c>
      <c r="H11" t="s">
        <v>292</v>
      </c>
    </row>
    <row r="12" spans="1:8" x14ac:dyDescent="0.45">
      <c r="A12" t="s">
        <v>293</v>
      </c>
      <c r="B12">
        <v>4000</v>
      </c>
      <c r="C12">
        <v>2500</v>
      </c>
      <c r="D12" s="3">
        <v>7.9799999999999996E-2</v>
      </c>
      <c r="E12" t="s">
        <v>17</v>
      </c>
      <c r="G12" t="s">
        <v>17</v>
      </c>
      <c r="H12" t="s">
        <v>17</v>
      </c>
    </row>
    <row r="13" spans="1:8" x14ac:dyDescent="0.45">
      <c r="A13" t="s">
        <v>294</v>
      </c>
      <c r="B13">
        <v>263</v>
      </c>
      <c r="C13">
        <v>173</v>
      </c>
      <c r="D13" s="3">
        <v>8.6999999999999994E-2</v>
      </c>
      <c r="E13">
        <v>45018</v>
      </c>
      <c r="F13">
        <v>45749</v>
      </c>
      <c r="G13" t="s">
        <v>168</v>
      </c>
      <c r="H13" t="s">
        <v>286</v>
      </c>
    </row>
    <row r="14" spans="1:8" x14ac:dyDescent="0.45">
      <c r="B14">
        <v>587</v>
      </c>
      <c r="C14">
        <v>449</v>
      </c>
      <c r="D14" s="3">
        <v>8.3000000000000004E-2</v>
      </c>
      <c r="E14">
        <v>44987</v>
      </c>
      <c r="F14">
        <v>45598</v>
      </c>
      <c r="G14" t="s">
        <v>168</v>
      </c>
      <c r="H14" t="s">
        <v>286</v>
      </c>
    </row>
    <row r="15" spans="1:8" x14ac:dyDescent="0.45">
      <c r="B15">
        <v>2000</v>
      </c>
      <c r="C15">
        <v>2000</v>
      </c>
      <c r="D15" s="3">
        <v>7.5999999999999998E-2</v>
      </c>
      <c r="E15">
        <v>45467</v>
      </c>
      <c r="F15">
        <v>46015</v>
      </c>
      <c r="G15" t="s">
        <v>288</v>
      </c>
      <c r="H15" t="s">
        <v>292</v>
      </c>
    </row>
    <row r="16" spans="1:8" x14ac:dyDescent="0.45">
      <c r="A16" t="s">
        <v>295</v>
      </c>
      <c r="B16">
        <v>2850</v>
      </c>
      <c r="C16">
        <v>2622</v>
      </c>
      <c r="D16" s="3">
        <v>7.7600000000000002E-2</v>
      </c>
    </row>
    <row r="17" spans="1:8" x14ac:dyDescent="0.45">
      <c r="A17" t="s">
        <v>296</v>
      </c>
      <c r="B17">
        <v>18386</v>
      </c>
      <c r="C17">
        <v>18186</v>
      </c>
      <c r="D17" s="3" t="s">
        <v>297</v>
      </c>
      <c r="E17" t="s">
        <v>17</v>
      </c>
      <c r="F17" t="s">
        <v>17</v>
      </c>
      <c r="G17" t="s">
        <v>168</v>
      </c>
      <c r="H17" t="s">
        <v>282</v>
      </c>
    </row>
    <row r="18" spans="1:8" x14ac:dyDescent="0.45">
      <c r="A18" t="s">
        <v>298</v>
      </c>
    </row>
    <row r="19" spans="1:8" x14ac:dyDescent="0.45">
      <c r="A19" t="s">
        <v>299</v>
      </c>
      <c r="B19">
        <v>50361</v>
      </c>
      <c r="C19">
        <v>43440</v>
      </c>
      <c r="D19">
        <v>7.3499999999999996E-2</v>
      </c>
    </row>
  </sheetData>
  <phoneticPr fontId="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7"/>
  <sheetViews>
    <sheetView workbookViewId="0">
      <selection activeCell="G9" sqref="G9"/>
    </sheetView>
  </sheetViews>
  <sheetFormatPr defaultRowHeight="17" x14ac:dyDescent="0.45"/>
  <sheetData>
    <row r="1" spans="1:3" x14ac:dyDescent="0.45">
      <c r="A1" t="s">
        <v>33</v>
      </c>
      <c r="B1" t="s">
        <v>54</v>
      </c>
      <c r="C1" t="s">
        <v>144</v>
      </c>
    </row>
    <row r="2" spans="1:3" x14ac:dyDescent="0.45">
      <c r="A2" t="s">
        <v>300</v>
      </c>
      <c r="B2">
        <v>17090</v>
      </c>
      <c r="C2" s="6">
        <f>B2/B7</f>
        <v>0.39341620626151014</v>
      </c>
    </row>
    <row r="3" spans="1:3" x14ac:dyDescent="0.45">
      <c r="A3" t="s">
        <v>146</v>
      </c>
      <c r="B3">
        <v>2622</v>
      </c>
      <c r="C3" s="6">
        <f>B3/B7</f>
        <v>6.0359116022099445E-2</v>
      </c>
    </row>
    <row r="4" spans="1:3" x14ac:dyDescent="0.45">
      <c r="A4" t="s">
        <v>147</v>
      </c>
      <c r="B4">
        <v>2500</v>
      </c>
      <c r="C4" s="6">
        <f>B4/B7</f>
        <v>5.7550644567219152E-2</v>
      </c>
    </row>
    <row r="5" spans="1:3" x14ac:dyDescent="0.45">
      <c r="A5" t="s">
        <v>148</v>
      </c>
      <c r="B5">
        <v>3042</v>
      </c>
      <c r="C5" s="6">
        <f>B5/B7</f>
        <v>7.0027624309392258E-2</v>
      </c>
    </row>
    <row r="6" spans="1:3" x14ac:dyDescent="0.45">
      <c r="A6" t="s">
        <v>149</v>
      </c>
      <c r="B6">
        <v>18186</v>
      </c>
      <c r="C6" s="6">
        <f>B6/B7</f>
        <v>0.41864640883977899</v>
      </c>
    </row>
    <row r="7" spans="1:3" x14ac:dyDescent="0.45">
      <c r="A7" t="s">
        <v>56</v>
      </c>
      <c r="B7">
        <f>SUM(B2:B6)</f>
        <v>43440</v>
      </c>
      <c r="C7" s="6">
        <f>B7/B7</f>
        <v>1</v>
      </c>
    </row>
  </sheetData>
  <phoneticPr fontId="1"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8"/>
  <sheetViews>
    <sheetView workbookViewId="0">
      <selection activeCell="E2" sqref="E2"/>
    </sheetView>
  </sheetViews>
  <sheetFormatPr defaultRowHeight="17" x14ac:dyDescent="0.45"/>
  <sheetData>
    <row r="1" spans="1:9" x14ac:dyDescent="0.45">
      <c r="A1" t="s">
        <v>365</v>
      </c>
      <c r="B1" t="s">
        <v>370</v>
      </c>
    </row>
    <row r="2" spans="1:9" x14ac:dyDescent="0.45">
      <c r="A2" t="s">
        <v>367</v>
      </c>
      <c r="B2" t="s">
        <v>368</v>
      </c>
    </row>
    <row r="3" spans="1:9" x14ac:dyDescent="0.45">
      <c r="A3" t="s">
        <v>271</v>
      </c>
      <c r="B3" t="s">
        <v>301</v>
      </c>
      <c r="C3" t="s">
        <v>272</v>
      </c>
      <c r="D3" t="s">
        <v>54</v>
      </c>
      <c r="E3" t="s">
        <v>273</v>
      </c>
      <c r="F3" t="s">
        <v>274</v>
      </c>
      <c r="G3" t="s">
        <v>53</v>
      </c>
      <c r="H3" t="s">
        <v>275</v>
      </c>
      <c r="I3" t="s">
        <v>276</v>
      </c>
    </row>
    <row r="4" spans="1:9" x14ac:dyDescent="0.45">
      <c r="A4" t="s">
        <v>302</v>
      </c>
      <c r="B4" t="s">
        <v>303</v>
      </c>
      <c r="C4">
        <v>500</v>
      </c>
      <c r="D4">
        <v>500</v>
      </c>
      <c r="E4" s="6">
        <v>6.4000000000000001E-2</v>
      </c>
      <c r="F4" s="4">
        <v>44833</v>
      </c>
      <c r="G4" s="4">
        <v>45564</v>
      </c>
      <c r="H4" t="s">
        <v>168</v>
      </c>
      <c r="I4" t="s">
        <v>282</v>
      </c>
    </row>
    <row r="5" spans="1:9" x14ac:dyDescent="0.45">
      <c r="A5" t="s">
        <v>304</v>
      </c>
      <c r="B5" t="s">
        <v>303</v>
      </c>
      <c r="C5">
        <v>2000</v>
      </c>
      <c r="D5">
        <v>1833</v>
      </c>
      <c r="E5" s="6">
        <v>6.8000000000000005E-2</v>
      </c>
      <c r="F5" s="4">
        <v>45421</v>
      </c>
      <c r="G5" s="4">
        <v>45786</v>
      </c>
      <c r="H5" t="s">
        <v>278</v>
      </c>
      <c r="I5" t="s">
        <v>282</v>
      </c>
    </row>
    <row r="6" spans="1:9" x14ac:dyDescent="0.45">
      <c r="A6" t="s">
        <v>305</v>
      </c>
      <c r="B6" t="s">
        <v>303</v>
      </c>
      <c r="C6">
        <v>2000</v>
      </c>
      <c r="D6">
        <v>2000</v>
      </c>
      <c r="E6" s="6">
        <v>6.7000000000000004E-2</v>
      </c>
      <c r="F6" s="4">
        <v>45442</v>
      </c>
      <c r="G6" s="4">
        <v>45807</v>
      </c>
      <c r="H6" t="s">
        <v>278</v>
      </c>
      <c r="I6" t="s">
        <v>282</v>
      </c>
    </row>
    <row r="7" spans="1:9" x14ac:dyDescent="0.45">
      <c r="A7" t="s">
        <v>306</v>
      </c>
      <c r="B7" t="s">
        <v>303</v>
      </c>
      <c r="C7">
        <v>2000</v>
      </c>
      <c r="D7">
        <v>1250</v>
      </c>
      <c r="E7" s="6">
        <v>5.8000000000000003E-2</v>
      </c>
      <c r="F7" s="4">
        <v>45168</v>
      </c>
      <c r="G7" s="4">
        <v>45899</v>
      </c>
      <c r="H7" t="s">
        <v>278</v>
      </c>
      <c r="I7" t="s">
        <v>282</v>
      </c>
    </row>
    <row r="8" spans="1:9" x14ac:dyDescent="0.45">
      <c r="A8" t="s">
        <v>307</v>
      </c>
      <c r="C8">
        <v>6500</v>
      </c>
      <c r="D8">
        <v>5583</v>
      </c>
      <c r="E8" s="6">
        <v>6.5000000000000002E-2</v>
      </c>
      <c r="F8" s="4"/>
      <c r="G8" s="4"/>
    </row>
    <row r="9" spans="1:9" x14ac:dyDescent="0.45">
      <c r="A9" t="s">
        <v>308</v>
      </c>
      <c r="B9" t="s">
        <v>309</v>
      </c>
      <c r="C9">
        <v>3000</v>
      </c>
      <c r="D9">
        <v>1500</v>
      </c>
      <c r="E9" s="6">
        <v>7.8E-2</v>
      </c>
      <c r="F9" s="4">
        <v>45288</v>
      </c>
      <c r="G9" s="4">
        <v>45654</v>
      </c>
      <c r="H9" t="s">
        <v>278</v>
      </c>
      <c r="I9" t="s">
        <v>292</v>
      </c>
    </row>
    <row r="10" spans="1:9" x14ac:dyDescent="0.45">
      <c r="A10" t="s">
        <v>310</v>
      </c>
      <c r="B10" t="s">
        <v>309</v>
      </c>
      <c r="C10">
        <v>5000</v>
      </c>
      <c r="D10">
        <v>1446</v>
      </c>
      <c r="E10" s="6">
        <v>7.4999999999999997E-2</v>
      </c>
      <c r="F10" s="4">
        <v>45069</v>
      </c>
      <c r="G10" s="4">
        <v>45619</v>
      </c>
      <c r="H10" t="s">
        <v>288</v>
      </c>
      <c r="I10" t="s">
        <v>292</v>
      </c>
    </row>
    <row r="11" spans="1:9" x14ac:dyDescent="0.45">
      <c r="A11" t="s">
        <v>311</v>
      </c>
      <c r="B11" t="s">
        <v>309</v>
      </c>
      <c r="C11">
        <v>5000</v>
      </c>
      <c r="D11">
        <v>840</v>
      </c>
      <c r="E11" s="6">
        <v>7.1999999999999995E-2</v>
      </c>
      <c r="F11" s="4">
        <v>45148</v>
      </c>
      <c r="G11" s="4">
        <v>45514</v>
      </c>
      <c r="H11" t="s">
        <v>278</v>
      </c>
      <c r="I11" t="s">
        <v>292</v>
      </c>
    </row>
    <row r="12" spans="1:9" x14ac:dyDescent="0.45">
      <c r="A12" t="s">
        <v>311</v>
      </c>
      <c r="B12" t="s">
        <v>309</v>
      </c>
      <c r="C12">
        <v>5000</v>
      </c>
      <c r="D12">
        <v>4584</v>
      </c>
      <c r="E12" s="6">
        <v>7.3999999999999996E-2</v>
      </c>
      <c r="F12" s="4">
        <v>45419</v>
      </c>
      <c r="G12" s="4">
        <v>45784</v>
      </c>
      <c r="H12" t="s">
        <v>278</v>
      </c>
      <c r="I12" t="s">
        <v>292</v>
      </c>
    </row>
    <row r="13" spans="1:9" x14ac:dyDescent="0.45">
      <c r="A13" t="s">
        <v>312</v>
      </c>
      <c r="B13" t="s">
        <v>309</v>
      </c>
      <c r="C13">
        <v>6000</v>
      </c>
      <c r="D13">
        <v>5000</v>
      </c>
      <c r="E13" s="6">
        <v>7.8E-2</v>
      </c>
      <c r="F13" s="4">
        <v>45343</v>
      </c>
      <c r="G13" s="4">
        <v>46074</v>
      </c>
      <c r="H13" t="s">
        <v>278</v>
      </c>
      <c r="I13" t="s">
        <v>292</v>
      </c>
    </row>
    <row r="14" spans="1:9" x14ac:dyDescent="0.45">
      <c r="A14" t="s">
        <v>313</v>
      </c>
      <c r="B14" t="s">
        <v>309</v>
      </c>
      <c r="C14">
        <v>5000</v>
      </c>
      <c r="D14">
        <v>833</v>
      </c>
      <c r="E14" s="6">
        <v>7.8E-2</v>
      </c>
      <c r="F14" s="4">
        <v>45159</v>
      </c>
      <c r="G14" s="4">
        <v>45525</v>
      </c>
      <c r="H14" t="s">
        <v>278</v>
      </c>
      <c r="I14" t="s">
        <v>292</v>
      </c>
    </row>
    <row r="15" spans="1:9" x14ac:dyDescent="0.45">
      <c r="A15" t="s">
        <v>314</v>
      </c>
      <c r="B15" t="s">
        <v>309</v>
      </c>
      <c r="C15">
        <v>3000</v>
      </c>
      <c r="D15">
        <v>1549</v>
      </c>
      <c r="E15" s="6">
        <v>7.8E-2</v>
      </c>
      <c r="F15" s="4">
        <v>45181</v>
      </c>
      <c r="G15" s="4">
        <v>45728</v>
      </c>
      <c r="H15" t="s">
        <v>288</v>
      </c>
      <c r="I15" t="s">
        <v>292</v>
      </c>
    </row>
    <row r="16" spans="1:9" x14ac:dyDescent="0.45">
      <c r="A16" t="s">
        <v>314</v>
      </c>
      <c r="B16" t="s">
        <v>309</v>
      </c>
      <c r="C16">
        <v>2000</v>
      </c>
      <c r="D16">
        <v>1359</v>
      </c>
      <c r="E16" s="6">
        <v>7.8E-2</v>
      </c>
      <c r="F16" s="4">
        <v>45280</v>
      </c>
      <c r="G16" s="4">
        <v>45828</v>
      </c>
      <c r="H16" t="s">
        <v>288</v>
      </c>
      <c r="I16" t="s">
        <v>292</v>
      </c>
    </row>
    <row r="17" spans="1:9" x14ac:dyDescent="0.45">
      <c r="A17" t="s">
        <v>314</v>
      </c>
      <c r="B17" t="s">
        <v>309</v>
      </c>
      <c r="C17">
        <v>2000</v>
      </c>
      <c r="D17">
        <v>1469</v>
      </c>
      <c r="E17" s="6">
        <v>0.08</v>
      </c>
      <c r="F17" s="4">
        <v>45308</v>
      </c>
      <c r="G17" s="4">
        <v>45855</v>
      </c>
      <c r="H17" t="s">
        <v>288</v>
      </c>
      <c r="I17" t="s">
        <v>292</v>
      </c>
    </row>
    <row r="18" spans="1:9" x14ac:dyDescent="0.45">
      <c r="A18" t="s">
        <v>314</v>
      </c>
      <c r="B18" t="s">
        <v>309</v>
      </c>
      <c r="C18">
        <v>3000</v>
      </c>
      <c r="D18">
        <v>2838</v>
      </c>
      <c r="E18" s="6">
        <v>7.8E-2</v>
      </c>
      <c r="F18" s="4">
        <v>45440</v>
      </c>
      <c r="G18" s="4">
        <v>45989</v>
      </c>
      <c r="H18" t="s">
        <v>288</v>
      </c>
      <c r="I18" t="s">
        <v>292</v>
      </c>
    </row>
    <row r="19" spans="1:9" x14ac:dyDescent="0.45">
      <c r="A19" t="s">
        <v>295</v>
      </c>
      <c r="C19">
        <v>39000</v>
      </c>
      <c r="D19">
        <v>21418</v>
      </c>
      <c r="E19" s="6">
        <v>7.6999999999999999E-2</v>
      </c>
      <c r="F19" s="4"/>
      <c r="G19" s="4"/>
    </row>
    <row r="20" spans="1:9" x14ac:dyDescent="0.45">
      <c r="A20" t="s">
        <v>315</v>
      </c>
      <c r="B20" t="s">
        <v>316</v>
      </c>
      <c r="C20">
        <v>2000</v>
      </c>
      <c r="D20">
        <v>333</v>
      </c>
      <c r="E20" s="6">
        <v>8.5000000000000006E-2</v>
      </c>
      <c r="F20" s="4">
        <v>45005</v>
      </c>
      <c r="G20" s="4">
        <v>45555</v>
      </c>
      <c r="H20" t="s">
        <v>278</v>
      </c>
      <c r="I20" t="s">
        <v>292</v>
      </c>
    </row>
    <row r="21" spans="1:9" x14ac:dyDescent="0.45">
      <c r="A21" t="s">
        <v>317</v>
      </c>
      <c r="B21" t="s">
        <v>316</v>
      </c>
      <c r="C21">
        <v>1000</v>
      </c>
      <c r="D21">
        <v>111</v>
      </c>
      <c r="E21" s="6">
        <v>8.6999999999999994E-2</v>
      </c>
      <c r="F21" s="4">
        <v>44981</v>
      </c>
      <c r="G21" s="4">
        <v>45528</v>
      </c>
      <c r="H21" t="s">
        <v>278</v>
      </c>
      <c r="I21" t="s">
        <v>292</v>
      </c>
    </row>
    <row r="22" spans="1:9" x14ac:dyDescent="0.45">
      <c r="A22" t="s">
        <v>318</v>
      </c>
      <c r="B22" t="s">
        <v>316</v>
      </c>
      <c r="C22">
        <v>3000</v>
      </c>
      <c r="D22">
        <v>2667</v>
      </c>
      <c r="E22" s="6">
        <v>7.6999999999999999E-2</v>
      </c>
      <c r="F22" s="4">
        <v>45401</v>
      </c>
      <c r="G22" s="4">
        <v>45949</v>
      </c>
      <c r="H22" t="s">
        <v>278</v>
      </c>
      <c r="I22" t="s">
        <v>292</v>
      </c>
    </row>
    <row r="23" spans="1:9" x14ac:dyDescent="0.45">
      <c r="A23" t="s">
        <v>319</v>
      </c>
      <c r="B23" t="s">
        <v>316</v>
      </c>
      <c r="C23">
        <v>1000</v>
      </c>
      <c r="D23">
        <v>444</v>
      </c>
      <c r="E23" s="6">
        <v>7.8E-2</v>
      </c>
      <c r="F23" s="4">
        <v>45160</v>
      </c>
      <c r="G23" s="4">
        <v>45710</v>
      </c>
      <c r="H23" t="s">
        <v>278</v>
      </c>
      <c r="I23" t="s">
        <v>292</v>
      </c>
    </row>
    <row r="24" spans="1:9" x14ac:dyDescent="0.45">
      <c r="A24" t="s">
        <v>319</v>
      </c>
      <c r="B24" t="s">
        <v>316</v>
      </c>
      <c r="C24">
        <v>2000</v>
      </c>
      <c r="D24">
        <v>1667</v>
      </c>
      <c r="E24" s="6">
        <v>7.8E-2</v>
      </c>
      <c r="F24" s="4">
        <v>45365</v>
      </c>
      <c r="G24" s="4">
        <v>45914</v>
      </c>
      <c r="H24" t="s">
        <v>278</v>
      </c>
      <c r="I24" t="s">
        <v>292</v>
      </c>
    </row>
    <row r="25" spans="1:9" x14ac:dyDescent="0.45">
      <c r="A25" t="s">
        <v>320</v>
      </c>
      <c r="B25" t="s">
        <v>316</v>
      </c>
      <c r="C25">
        <v>3000</v>
      </c>
      <c r="D25">
        <v>1043</v>
      </c>
      <c r="E25" s="6">
        <v>8.5000000000000006E-2</v>
      </c>
      <c r="F25" s="4">
        <v>45076</v>
      </c>
      <c r="G25" s="4">
        <v>45626</v>
      </c>
      <c r="H25" t="s">
        <v>288</v>
      </c>
      <c r="I25" t="s">
        <v>282</v>
      </c>
    </row>
    <row r="26" spans="1:9" x14ac:dyDescent="0.45">
      <c r="A26" t="s">
        <v>321</v>
      </c>
      <c r="B26" t="s">
        <v>316</v>
      </c>
      <c r="C26">
        <v>2000</v>
      </c>
      <c r="D26">
        <v>444</v>
      </c>
      <c r="E26" s="6">
        <v>8.5000000000000006E-2</v>
      </c>
      <c r="F26" s="4">
        <v>45040</v>
      </c>
      <c r="G26" s="4">
        <v>45589</v>
      </c>
      <c r="H26" t="s">
        <v>278</v>
      </c>
      <c r="I26" t="s">
        <v>292</v>
      </c>
    </row>
    <row r="27" spans="1:9" x14ac:dyDescent="0.45">
      <c r="A27" t="s">
        <v>321</v>
      </c>
      <c r="B27" t="s">
        <v>316</v>
      </c>
      <c r="C27">
        <v>1000</v>
      </c>
      <c r="D27">
        <v>500</v>
      </c>
      <c r="E27" s="6">
        <v>7.4999999999999997E-2</v>
      </c>
      <c r="F27" s="4">
        <v>45194</v>
      </c>
      <c r="G27" s="4">
        <v>45741</v>
      </c>
      <c r="H27" t="s">
        <v>278</v>
      </c>
      <c r="I27" t="s">
        <v>292</v>
      </c>
    </row>
    <row r="28" spans="1:9" x14ac:dyDescent="0.45">
      <c r="A28" t="s">
        <v>321</v>
      </c>
      <c r="B28" t="s">
        <v>316</v>
      </c>
      <c r="C28">
        <v>1000</v>
      </c>
      <c r="D28">
        <v>944</v>
      </c>
      <c r="E28" s="6">
        <v>7.8E-2</v>
      </c>
      <c r="F28" s="4">
        <v>45412</v>
      </c>
      <c r="G28" s="4">
        <v>45960</v>
      </c>
      <c r="H28" t="s">
        <v>278</v>
      </c>
      <c r="I28" t="s">
        <v>292</v>
      </c>
    </row>
    <row r="29" spans="1:9" x14ac:dyDescent="0.45">
      <c r="A29" t="s">
        <v>322</v>
      </c>
      <c r="B29" t="s">
        <v>316</v>
      </c>
      <c r="C29">
        <v>1000</v>
      </c>
      <c r="D29">
        <v>757</v>
      </c>
      <c r="E29" s="6">
        <v>7.8E-2</v>
      </c>
      <c r="F29" s="4">
        <v>45372</v>
      </c>
      <c r="G29" s="4">
        <v>45737</v>
      </c>
      <c r="H29" t="s">
        <v>288</v>
      </c>
      <c r="I29" t="s">
        <v>292</v>
      </c>
    </row>
    <row r="30" spans="1:9" x14ac:dyDescent="0.45">
      <c r="A30" t="s">
        <v>323</v>
      </c>
      <c r="B30" t="s">
        <v>316</v>
      </c>
      <c r="C30">
        <v>1000</v>
      </c>
      <c r="D30">
        <v>290</v>
      </c>
      <c r="E30" s="6">
        <v>0.08</v>
      </c>
      <c r="F30" s="4">
        <v>45065</v>
      </c>
      <c r="G30" s="4">
        <v>45615</v>
      </c>
      <c r="H30" t="s">
        <v>288</v>
      </c>
      <c r="I30" t="s">
        <v>292</v>
      </c>
    </row>
    <row r="31" spans="1:9" x14ac:dyDescent="0.45">
      <c r="A31" t="s">
        <v>324</v>
      </c>
      <c r="B31" t="s">
        <v>316</v>
      </c>
      <c r="C31">
        <v>1000</v>
      </c>
      <c r="D31">
        <v>417</v>
      </c>
      <c r="E31" s="6">
        <v>8.5000000000000006E-2</v>
      </c>
      <c r="F31" s="4">
        <v>45033</v>
      </c>
      <c r="G31" s="4">
        <v>45764</v>
      </c>
      <c r="H31" t="s">
        <v>278</v>
      </c>
      <c r="I31" t="s">
        <v>292</v>
      </c>
    </row>
    <row r="32" spans="1:9" x14ac:dyDescent="0.45">
      <c r="A32" t="s">
        <v>324</v>
      </c>
      <c r="B32" t="s">
        <v>316</v>
      </c>
      <c r="C32">
        <v>1000</v>
      </c>
      <c r="D32">
        <v>800</v>
      </c>
      <c r="E32" s="6">
        <v>7.8E-2</v>
      </c>
      <c r="F32" s="4">
        <v>45343</v>
      </c>
      <c r="G32" s="4">
        <v>45951</v>
      </c>
      <c r="H32" t="s">
        <v>278</v>
      </c>
      <c r="I32" t="s">
        <v>292</v>
      </c>
    </row>
    <row r="33" spans="1:9" x14ac:dyDescent="0.45">
      <c r="A33" t="s">
        <v>325</v>
      </c>
      <c r="B33" t="s">
        <v>316</v>
      </c>
      <c r="C33">
        <v>2000</v>
      </c>
      <c r="D33">
        <v>790</v>
      </c>
      <c r="E33" s="6">
        <v>0.08</v>
      </c>
      <c r="F33" s="4">
        <v>45110</v>
      </c>
      <c r="G33" s="4">
        <v>45660</v>
      </c>
      <c r="H33" t="s">
        <v>168</v>
      </c>
      <c r="I33" t="s">
        <v>282</v>
      </c>
    </row>
    <row r="34" spans="1:9" x14ac:dyDescent="0.45">
      <c r="A34" t="s">
        <v>326</v>
      </c>
      <c r="B34" t="s">
        <v>316</v>
      </c>
      <c r="C34">
        <v>1500</v>
      </c>
      <c r="D34">
        <v>500</v>
      </c>
      <c r="E34" s="6">
        <v>8.5000000000000006E-2</v>
      </c>
      <c r="F34" s="4">
        <v>45096</v>
      </c>
      <c r="G34" s="4">
        <v>45645</v>
      </c>
      <c r="H34" t="s">
        <v>278</v>
      </c>
      <c r="I34" t="s">
        <v>282</v>
      </c>
    </row>
    <row r="35" spans="1:9" x14ac:dyDescent="0.45">
      <c r="A35" t="s">
        <v>326</v>
      </c>
      <c r="B35" t="s">
        <v>316</v>
      </c>
      <c r="C35">
        <v>1500</v>
      </c>
      <c r="D35">
        <v>1083</v>
      </c>
      <c r="E35" s="6">
        <v>7.8E-2</v>
      </c>
      <c r="F35" s="4">
        <v>45310</v>
      </c>
      <c r="G35" s="4">
        <v>45857</v>
      </c>
      <c r="H35" t="s">
        <v>278</v>
      </c>
      <c r="I35" t="s">
        <v>292</v>
      </c>
    </row>
    <row r="36" spans="1:9" x14ac:dyDescent="0.45">
      <c r="A36" t="s">
        <v>327</v>
      </c>
      <c r="B36" t="s">
        <v>316</v>
      </c>
      <c r="C36">
        <v>3000</v>
      </c>
      <c r="D36">
        <v>1038</v>
      </c>
      <c r="E36" s="6">
        <v>7.5999999999999998E-2</v>
      </c>
      <c r="F36" s="4">
        <v>45090</v>
      </c>
      <c r="G36" s="4">
        <v>45639</v>
      </c>
      <c r="H36" t="s">
        <v>288</v>
      </c>
      <c r="I36" t="s">
        <v>292</v>
      </c>
    </row>
    <row r="37" spans="1:9" x14ac:dyDescent="0.45">
      <c r="A37" t="s">
        <v>328</v>
      </c>
      <c r="B37" t="s">
        <v>316</v>
      </c>
      <c r="C37">
        <v>2000</v>
      </c>
      <c r="D37">
        <v>917</v>
      </c>
      <c r="E37" s="6">
        <v>7.4999999999999997E-2</v>
      </c>
      <c r="F37" s="4">
        <v>45145</v>
      </c>
      <c r="G37" s="4">
        <v>45695</v>
      </c>
      <c r="H37" t="s">
        <v>288</v>
      </c>
      <c r="I37" t="s">
        <v>292</v>
      </c>
    </row>
    <row r="38" spans="1:9" x14ac:dyDescent="0.45">
      <c r="A38" t="s">
        <v>328</v>
      </c>
      <c r="B38" t="s">
        <v>316</v>
      </c>
      <c r="C38">
        <v>2000</v>
      </c>
      <c r="D38">
        <v>1683</v>
      </c>
      <c r="E38" s="6">
        <v>7.8E-2</v>
      </c>
      <c r="F38" s="4">
        <v>45376</v>
      </c>
      <c r="G38" s="4">
        <v>45925</v>
      </c>
      <c r="H38" t="s">
        <v>288</v>
      </c>
      <c r="I38" t="s">
        <v>329</v>
      </c>
    </row>
    <row r="39" spans="1:9" x14ac:dyDescent="0.45">
      <c r="A39" t="s">
        <v>330</v>
      </c>
      <c r="B39" t="s">
        <v>316</v>
      </c>
      <c r="C39">
        <v>1000</v>
      </c>
      <c r="D39">
        <v>611</v>
      </c>
      <c r="E39" s="6">
        <v>8.5000000000000006E-2</v>
      </c>
      <c r="F39" s="4">
        <v>45236</v>
      </c>
      <c r="G39" s="4">
        <v>45783</v>
      </c>
      <c r="H39" t="s">
        <v>278</v>
      </c>
      <c r="I39" t="s">
        <v>282</v>
      </c>
    </row>
    <row r="40" spans="1:9" x14ac:dyDescent="0.45">
      <c r="A40" t="s">
        <v>330</v>
      </c>
      <c r="B40" t="s">
        <v>316</v>
      </c>
      <c r="C40">
        <v>1000</v>
      </c>
      <c r="D40">
        <v>778</v>
      </c>
      <c r="E40" s="6">
        <v>0.08</v>
      </c>
      <c r="F40" s="4">
        <v>45328</v>
      </c>
      <c r="G40" s="4">
        <v>45875</v>
      </c>
      <c r="H40" t="s">
        <v>278</v>
      </c>
      <c r="I40" t="s">
        <v>282</v>
      </c>
    </row>
    <row r="41" spans="1:9" x14ac:dyDescent="0.45">
      <c r="A41" t="s">
        <v>330</v>
      </c>
      <c r="B41" t="s">
        <v>316</v>
      </c>
      <c r="C41">
        <v>850</v>
      </c>
      <c r="D41">
        <v>850</v>
      </c>
      <c r="E41" s="6">
        <v>7.9000000000000001E-2</v>
      </c>
      <c r="F41" s="4">
        <v>45385</v>
      </c>
      <c r="G41" s="4">
        <v>45554</v>
      </c>
      <c r="H41" t="s">
        <v>168</v>
      </c>
      <c r="I41" t="s">
        <v>331</v>
      </c>
    </row>
    <row r="42" spans="1:9" x14ac:dyDescent="0.45">
      <c r="A42" t="s">
        <v>332</v>
      </c>
      <c r="B42" t="s">
        <v>316</v>
      </c>
      <c r="C42">
        <v>3000</v>
      </c>
      <c r="D42">
        <v>667</v>
      </c>
      <c r="E42" s="6">
        <v>7.4999999999999997E-2</v>
      </c>
      <c r="F42" s="4">
        <v>45026</v>
      </c>
      <c r="G42" s="4">
        <v>45575</v>
      </c>
      <c r="H42" t="s">
        <v>278</v>
      </c>
      <c r="I42" t="s">
        <v>292</v>
      </c>
    </row>
    <row r="43" spans="1:9" x14ac:dyDescent="0.45">
      <c r="A43" t="s">
        <v>332</v>
      </c>
      <c r="B43" t="s">
        <v>316</v>
      </c>
      <c r="C43">
        <v>1300</v>
      </c>
      <c r="D43">
        <v>1011</v>
      </c>
      <c r="E43" s="6">
        <v>7.8E-2</v>
      </c>
      <c r="F43" s="4">
        <v>45322</v>
      </c>
      <c r="G43" s="4">
        <v>45869</v>
      </c>
      <c r="H43" t="s">
        <v>278</v>
      </c>
      <c r="I43" t="s">
        <v>292</v>
      </c>
    </row>
    <row r="44" spans="1:9" x14ac:dyDescent="0.45">
      <c r="A44" t="s">
        <v>333</v>
      </c>
      <c r="B44" t="s">
        <v>316</v>
      </c>
      <c r="C44">
        <v>5000</v>
      </c>
      <c r="D44">
        <v>3056</v>
      </c>
      <c r="E44" s="6">
        <v>7.8E-2</v>
      </c>
      <c r="F44" s="4">
        <v>45252</v>
      </c>
      <c r="G44" s="4">
        <v>45799</v>
      </c>
      <c r="H44" t="s">
        <v>278</v>
      </c>
      <c r="I44" t="s">
        <v>292</v>
      </c>
    </row>
    <row r="45" spans="1:9" x14ac:dyDescent="0.45">
      <c r="A45" t="s">
        <v>334</v>
      </c>
      <c r="B45" t="s">
        <v>316</v>
      </c>
      <c r="C45">
        <v>3000</v>
      </c>
      <c r="D45">
        <v>352</v>
      </c>
      <c r="E45" s="6">
        <v>0.09</v>
      </c>
      <c r="F45" s="4">
        <v>44985</v>
      </c>
      <c r="G45" s="4">
        <v>45532</v>
      </c>
      <c r="H45" t="s">
        <v>288</v>
      </c>
      <c r="I45" t="s">
        <v>292</v>
      </c>
    </row>
    <row r="46" spans="1:9" x14ac:dyDescent="0.45">
      <c r="A46" t="s">
        <v>335</v>
      </c>
      <c r="B46" t="s">
        <v>316</v>
      </c>
      <c r="C46">
        <v>3000</v>
      </c>
      <c r="D46">
        <v>2859</v>
      </c>
      <c r="E46" s="6">
        <v>7.5999999999999998E-2</v>
      </c>
      <c r="F46" s="4">
        <v>45433</v>
      </c>
      <c r="G46" s="4">
        <v>46043</v>
      </c>
      <c r="H46" t="s">
        <v>288</v>
      </c>
      <c r="I46" t="s">
        <v>292</v>
      </c>
    </row>
    <row r="47" spans="1:9" x14ac:dyDescent="0.45">
      <c r="A47" t="s">
        <v>336</v>
      </c>
      <c r="B47" t="s">
        <v>316</v>
      </c>
      <c r="C47">
        <v>2000</v>
      </c>
      <c r="D47">
        <v>1778</v>
      </c>
      <c r="E47" s="6">
        <v>7.8E-2</v>
      </c>
      <c r="F47" s="4">
        <v>45386</v>
      </c>
      <c r="G47" s="4">
        <v>45934</v>
      </c>
      <c r="H47" t="s">
        <v>278</v>
      </c>
      <c r="I47" t="s">
        <v>292</v>
      </c>
    </row>
    <row r="48" spans="1:9" x14ac:dyDescent="0.45">
      <c r="A48" t="s">
        <v>336</v>
      </c>
      <c r="B48" t="s">
        <v>316</v>
      </c>
      <c r="C48">
        <v>2000</v>
      </c>
      <c r="D48">
        <v>2000</v>
      </c>
      <c r="E48" s="6">
        <v>7.8E-2</v>
      </c>
      <c r="F48" s="4">
        <v>45470</v>
      </c>
      <c r="G48" s="4">
        <v>45653</v>
      </c>
      <c r="H48" t="s">
        <v>278</v>
      </c>
      <c r="I48" t="s">
        <v>282</v>
      </c>
    </row>
    <row r="49" spans="1:9" x14ac:dyDescent="0.45">
      <c r="A49" t="s">
        <v>337</v>
      </c>
      <c r="B49" t="s">
        <v>316</v>
      </c>
      <c r="C49">
        <v>3000</v>
      </c>
      <c r="D49">
        <v>2667</v>
      </c>
      <c r="E49" s="6">
        <v>7.5999999999999998E-2</v>
      </c>
      <c r="F49" s="4">
        <v>45009</v>
      </c>
      <c r="G49" s="4">
        <v>45559</v>
      </c>
      <c r="H49" t="s">
        <v>278</v>
      </c>
      <c r="I49" t="s">
        <v>292</v>
      </c>
    </row>
    <row r="50" spans="1:9" x14ac:dyDescent="0.45">
      <c r="A50" t="s">
        <v>338</v>
      </c>
      <c r="B50" t="s">
        <v>316</v>
      </c>
      <c r="C50">
        <v>2000</v>
      </c>
      <c r="D50">
        <v>352</v>
      </c>
      <c r="E50" s="6">
        <v>8.5000000000000006E-2</v>
      </c>
      <c r="F50" s="4">
        <v>45008</v>
      </c>
      <c r="G50" s="4">
        <v>45558</v>
      </c>
      <c r="H50" t="s">
        <v>288</v>
      </c>
      <c r="I50" t="s">
        <v>292</v>
      </c>
    </row>
    <row r="51" spans="1:9" x14ac:dyDescent="0.45">
      <c r="A51" t="s">
        <v>338</v>
      </c>
      <c r="B51" t="s">
        <v>316</v>
      </c>
      <c r="C51">
        <v>2000</v>
      </c>
      <c r="D51">
        <v>1895</v>
      </c>
      <c r="E51" s="6">
        <v>7.6999999999999999E-2</v>
      </c>
      <c r="F51" s="4">
        <v>45429</v>
      </c>
      <c r="G51" s="4">
        <v>45978</v>
      </c>
      <c r="H51" t="s">
        <v>288</v>
      </c>
      <c r="I51" t="s">
        <v>292</v>
      </c>
    </row>
    <row r="52" spans="1:9" x14ac:dyDescent="0.45">
      <c r="A52" t="s">
        <v>339</v>
      </c>
      <c r="B52" t="s">
        <v>316</v>
      </c>
      <c r="C52">
        <v>3000</v>
      </c>
      <c r="D52">
        <v>351</v>
      </c>
      <c r="E52" s="6">
        <v>8.5000000000000006E-2</v>
      </c>
      <c r="F52" s="4">
        <v>44985</v>
      </c>
      <c r="G52" s="4">
        <v>45532</v>
      </c>
      <c r="H52" t="s">
        <v>288</v>
      </c>
      <c r="I52" t="s">
        <v>292</v>
      </c>
    </row>
    <row r="53" spans="1:9" x14ac:dyDescent="0.45">
      <c r="A53" t="s">
        <v>339</v>
      </c>
      <c r="B53" t="s">
        <v>316</v>
      </c>
      <c r="C53">
        <v>2000</v>
      </c>
      <c r="D53">
        <v>2000</v>
      </c>
      <c r="E53" s="6">
        <v>7.4999999999999997E-2</v>
      </c>
      <c r="F53" s="4">
        <v>45457</v>
      </c>
      <c r="G53" s="4">
        <v>46005</v>
      </c>
      <c r="H53" t="s">
        <v>288</v>
      </c>
      <c r="I53" t="s">
        <v>292</v>
      </c>
    </row>
    <row r="54" spans="1:9" x14ac:dyDescent="0.45">
      <c r="A54" t="s">
        <v>340</v>
      </c>
      <c r="B54" t="s">
        <v>316</v>
      </c>
      <c r="C54">
        <v>2000</v>
      </c>
      <c r="D54">
        <v>1444</v>
      </c>
      <c r="E54" s="6">
        <v>7.9000000000000001E-2</v>
      </c>
      <c r="F54" s="4">
        <v>45308</v>
      </c>
      <c r="G54" s="4">
        <v>45855</v>
      </c>
      <c r="H54" t="s">
        <v>278</v>
      </c>
      <c r="I54" t="s">
        <v>292</v>
      </c>
    </row>
    <row r="55" spans="1:9" x14ac:dyDescent="0.45">
      <c r="A55" t="s">
        <v>341</v>
      </c>
      <c r="B55" t="s">
        <v>316</v>
      </c>
      <c r="C55">
        <v>3000</v>
      </c>
      <c r="D55">
        <v>167</v>
      </c>
      <c r="E55" s="6">
        <v>0.09</v>
      </c>
      <c r="F55" s="4">
        <v>44932</v>
      </c>
      <c r="G55" s="4">
        <v>45479</v>
      </c>
      <c r="H55" t="s">
        <v>278</v>
      </c>
      <c r="I55" t="s">
        <v>292</v>
      </c>
    </row>
    <row r="56" spans="1:9" x14ac:dyDescent="0.45">
      <c r="A56" t="s">
        <v>341</v>
      </c>
      <c r="B56" t="s">
        <v>316</v>
      </c>
      <c r="C56">
        <v>3000</v>
      </c>
      <c r="D56">
        <v>2000</v>
      </c>
      <c r="E56" s="6">
        <v>7.8E-2</v>
      </c>
      <c r="F56" s="4">
        <v>45267</v>
      </c>
      <c r="G56" s="4">
        <v>45815</v>
      </c>
      <c r="H56" t="s">
        <v>278</v>
      </c>
      <c r="I56" t="s">
        <v>292</v>
      </c>
    </row>
    <row r="57" spans="1:9" x14ac:dyDescent="0.45">
      <c r="A57" t="s">
        <v>341</v>
      </c>
      <c r="B57" t="s">
        <v>316</v>
      </c>
      <c r="C57">
        <v>4000</v>
      </c>
      <c r="D57">
        <v>4000</v>
      </c>
      <c r="E57" s="6">
        <v>7.5999999999999998E-2</v>
      </c>
      <c r="F57" s="4">
        <v>45442</v>
      </c>
      <c r="G57" s="4">
        <v>45991</v>
      </c>
      <c r="H57" t="s">
        <v>278</v>
      </c>
      <c r="I57" t="s">
        <v>292</v>
      </c>
    </row>
    <row r="58" spans="1:9" x14ac:dyDescent="0.45">
      <c r="A58" t="s">
        <v>293</v>
      </c>
      <c r="C58">
        <v>78150</v>
      </c>
      <c r="D58">
        <v>45268</v>
      </c>
      <c r="E58" s="6">
        <v>7.8E-2</v>
      </c>
      <c r="F58" s="4"/>
      <c r="G58" s="4"/>
    </row>
    <row r="59" spans="1:9" x14ac:dyDescent="0.45">
      <c r="A59" t="s">
        <v>342</v>
      </c>
      <c r="B59" t="s">
        <v>343</v>
      </c>
      <c r="C59">
        <v>5000</v>
      </c>
      <c r="D59">
        <v>380</v>
      </c>
      <c r="E59" s="6">
        <v>7.4999999999999997E-2</v>
      </c>
      <c r="F59" s="4">
        <v>45114</v>
      </c>
      <c r="G59" s="4">
        <v>45480</v>
      </c>
      <c r="H59" t="s">
        <v>278</v>
      </c>
      <c r="I59" t="s">
        <v>292</v>
      </c>
    </row>
    <row r="60" spans="1:9" x14ac:dyDescent="0.45">
      <c r="A60" t="s">
        <v>342</v>
      </c>
      <c r="B60" t="s">
        <v>343</v>
      </c>
      <c r="C60">
        <v>4000</v>
      </c>
      <c r="D60">
        <v>1669</v>
      </c>
      <c r="E60" s="6">
        <v>7.8E-2</v>
      </c>
      <c r="F60" s="4">
        <v>45229</v>
      </c>
      <c r="G60" s="4">
        <v>45595</v>
      </c>
      <c r="H60" t="s">
        <v>278</v>
      </c>
      <c r="I60" t="s">
        <v>292</v>
      </c>
    </row>
    <row r="61" spans="1:9" x14ac:dyDescent="0.45">
      <c r="A61" t="s">
        <v>342</v>
      </c>
      <c r="B61" t="s">
        <v>343</v>
      </c>
      <c r="C61">
        <v>4000</v>
      </c>
      <c r="D61">
        <v>1669</v>
      </c>
      <c r="E61" s="6">
        <v>7.8E-2</v>
      </c>
      <c r="F61" s="4">
        <v>45238</v>
      </c>
      <c r="G61" s="4">
        <v>45604</v>
      </c>
      <c r="H61" t="s">
        <v>278</v>
      </c>
      <c r="I61" t="s">
        <v>292</v>
      </c>
    </row>
    <row r="62" spans="1:9" x14ac:dyDescent="0.45">
      <c r="A62" t="s">
        <v>344</v>
      </c>
      <c r="C62">
        <v>13000</v>
      </c>
      <c r="D62">
        <v>3718</v>
      </c>
      <c r="E62" s="6">
        <v>7.8E-2</v>
      </c>
      <c r="F62" s="4"/>
      <c r="G62" s="4"/>
    </row>
    <row r="63" spans="1:9" x14ac:dyDescent="0.45">
      <c r="A63" t="s">
        <v>345</v>
      </c>
      <c r="B63" t="s">
        <v>346</v>
      </c>
      <c r="C63">
        <v>7400</v>
      </c>
      <c r="D63">
        <v>4352</v>
      </c>
      <c r="E63" s="6">
        <v>0.104</v>
      </c>
      <c r="F63" s="4" t="s">
        <v>17</v>
      </c>
      <c r="G63" s="4" t="s">
        <v>17</v>
      </c>
      <c r="H63" t="s">
        <v>347</v>
      </c>
      <c r="I63" t="s">
        <v>282</v>
      </c>
    </row>
    <row r="64" spans="1:9" x14ac:dyDescent="0.45">
      <c r="F64" s="4"/>
      <c r="G64" s="4"/>
      <c r="H64" t="s">
        <v>348</v>
      </c>
    </row>
    <row r="65" spans="1:9" x14ac:dyDescent="0.45">
      <c r="A65" t="s">
        <v>349</v>
      </c>
      <c r="C65">
        <v>7400</v>
      </c>
      <c r="D65">
        <v>4352</v>
      </c>
      <c r="E65">
        <v>0.104</v>
      </c>
      <c r="F65" s="4"/>
      <c r="G65" s="4"/>
    </row>
    <row r="66" spans="1:9" x14ac:dyDescent="0.45">
      <c r="A66" t="s">
        <v>350</v>
      </c>
      <c r="C66">
        <v>27300</v>
      </c>
      <c r="D66">
        <v>24467</v>
      </c>
      <c r="E66" t="s">
        <v>351</v>
      </c>
      <c r="F66" s="4">
        <v>44715</v>
      </c>
      <c r="G66" s="4">
        <v>46141</v>
      </c>
      <c r="I66" t="s">
        <v>282</v>
      </c>
    </row>
    <row r="67" spans="1:9" x14ac:dyDescent="0.45">
      <c r="A67" t="s">
        <v>352</v>
      </c>
      <c r="C67">
        <v>27300</v>
      </c>
      <c r="D67">
        <v>24467</v>
      </c>
      <c r="E67">
        <v>7.5999999999999998E-2</v>
      </c>
    </row>
    <row r="68" spans="1:9" x14ac:dyDescent="0.45">
      <c r="A68" t="s">
        <v>299</v>
      </c>
      <c r="C68">
        <v>171350</v>
      </c>
      <c r="D68" s="5">
        <v>104805</v>
      </c>
    </row>
  </sheetData>
  <phoneticPr fontId="1" type="noConversion"/>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
  <sheetViews>
    <sheetView workbookViewId="0">
      <selection activeCell="D3" sqref="D3"/>
    </sheetView>
  </sheetViews>
  <sheetFormatPr defaultRowHeight="17" x14ac:dyDescent="0.45"/>
  <sheetData>
    <row r="1" spans="1:3" x14ac:dyDescent="0.45">
      <c r="A1" t="s">
        <v>33</v>
      </c>
      <c r="B1" s="5" t="s">
        <v>54</v>
      </c>
      <c r="C1" t="s">
        <v>144</v>
      </c>
    </row>
    <row r="2" spans="1:3" x14ac:dyDescent="0.45">
      <c r="A2" t="s">
        <v>300</v>
      </c>
      <c r="B2" s="5">
        <v>5583</v>
      </c>
      <c r="C2" s="3">
        <f>B2/B8</f>
        <v>5.3269850962731138E-2</v>
      </c>
    </row>
    <row r="3" spans="1:3" x14ac:dyDescent="0.45">
      <c r="A3" t="s">
        <v>353</v>
      </c>
      <c r="B3" s="5">
        <v>4352</v>
      </c>
      <c r="C3" s="3">
        <f>B3/B8</f>
        <v>4.152434020952999E-2</v>
      </c>
    </row>
    <row r="4" spans="1:3" x14ac:dyDescent="0.45">
      <c r="A4" t="s">
        <v>147</v>
      </c>
      <c r="B4" s="5">
        <v>45268</v>
      </c>
      <c r="C4" s="3">
        <f>B4/B8</f>
        <v>0.43192183653607619</v>
      </c>
    </row>
    <row r="5" spans="1:3" x14ac:dyDescent="0.45">
      <c r="A5" t="s">
        <v>146</v>
      </c>
      <c r="B5" s="5">
        <v>21418</v>
      </c>
      <c r="C5" s="3">
        <f>B5/B8</f>
        <v>0.20435852909184588</v>
      </c>
    </row>
    <row r="6" spans="1:3" x14ac:dyDescent="0.45">
      <c r="A6" t="s">
        <v>354</v>
      </c>
      <c r="B6" s="5">
        <v>3718</v>
      </c>
      <c r="C6" s="3">
        <f>B6/B8</f>
        <v>3.5475068221285044E-2</v>
      </c>
    </row>
    <row r="7" spans="1:3" x14ac:dyDescent="0.45">
      <c r="A7" t="s">
        <v>149</v>
      </c>
      <c r="B7" s="5">
        <v>24467</v>
      </c>
      <c r="C7" s="3">
        <f>B7/B8</f>
        <v>0.23345037497853177</v>
      </c>
    </row>
    <row r="8" spans="1:3" x14ac:dyDescent="0.45">
      <c r="A8" t="s">
        <v>56</v>
      </c>
      <c r="B8" s="5">
        <f>SUM(B2:B7)</f>
        <v>104806</v>
      </c>
      <c r="C8" s="3">
        <f>SUM(C2:C7)</f>
        <v>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개요</vt:lpstr>
      <vt:lpstr>담보사항</vt:lpstr>
      <vt:lpstr>신청사 개요</vt:lpstr>
      <vt:lpstr>신청사 주주현황</vt:lpstr>
      <vt:lpstr>신청사 대표 경력</vt:lpstr>
      <vt:lpstr>신청사 BS</vt:lpstr>
      <vt:lpstr>신청사 PL</vt:lpstr>
      <vt:lpstr>신청사 차입금현황</vt:lpstr>
      <vt:lpstr>신청사 영업 주요상품</vt:lpstr>
      <vt:lpstr>신청사 대출상품 잔액 및 비중</vt:lpstr>
      <vt:lpstr>신청사 월별 영업현황</vt:lpstr>
      <vt:lpstr>신청사 월별 대출취급 및 원리금상환 현황</vt:lpstr>
      <vt:lpstr>신청사 총자산한도 현황</vt:lpstr>
      <vt:lpstr>신청사 연체율 현황</vt:lpstr>
      <vt:lpstr>신청사 연체율 현황(당해년도분)</vt:lpstr>
      <vt:lpstr>신청사 대손충당금 현황</vt:lpstr>
      <vt:lpstr>신청사 대손충당금 적립비율</vt:lpstr>
      <vt:lpstr>신청사 자산건전성 현황</vt:lpstr>
      <vt:lpstr>보증사 개요</vt:lpstr>
      <vt:lpstr>보증사 주주현황</vt:lpstr>
      <vt:lpstr>보증사 BS</vt:lpstr>
      <vt:lpstr>보증사 PL</vt:lpstr>
      <vt:lpstr>보증사 주요 재무지표</vt:lpstr>
      <vt:lpstr>보증사 영업현황</vt:lpstr>
      <vt:lpstr>보증사 월별 영업현황</vt:lpstr>
      <vt:lpstr>보증사 총자산한도</vt:lpstr>
      <vt:lpstr>별첨1.차주 차입금현황</vt:lpstr>
      <vt:lpstr>별첨1.1 차주 차입금 요약표</vt:lpstr>
      <vt:lpstr>별첨2 보증사 차입금 현황</vt:lpstr>
      <vt:lpstr>보증사 차입금 요약표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Youngkuk Kim</cp:lastModifiedBy>
  <dcterms:created xsi:type="dcterms:W3CDTF">2025-11-20T12:55:50Z</dcterms:created>
  <dcterms:modified xsi:type="dcterms:W3CDTF">2025-11-26T10:00:01Z</dcterms:modified>
</cp:coreProperties>
</file>