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filterPrivacy="1" defaultThemeVersion="124226"/>
  <xr:revisionPtr revIDLastSave="0" documentId="13_ncr:1_{BA1F2311-107C-9449-A956-84B3041EC27F}" xr6:coauthVersionLast="47" xr6:coauthVersionMax="47" xr10:uidLastSave="{00000000-0000-0000-0000-000000000000}"/>
  <bookViews>
    <workbookView xWindow="0" yWindow="620" windowWidth="33600" windowHeight="20380" activeTab="2" xr2:uid="{00000000-000D-0000-FFFF-FFFF00000000}"/>
  </bookViews>
  <sheets>
    <sheet name="Lead" sheetId="2" r:id="rId1"/>
    <sheet name="to report" sheetId="3" r:id="rId2"/>
    <sheet name="RAW" sheetId="4" r:id="rId3"/>
    <sheet name="chatgpt" sheetId="5" r:id="rId4"/>
  </sheets>
  <definedNames>
    <definedName name="_xlnm._FilterDatabase" localSheetId="1" hidden="1">'to report'!$B$8:$D$22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3" l="1"/>
  <c r="E44" i="3"/>
  <c r="B44" i="3"/>
  <c r="C44" i="3" s="1"/>
  <c r="E25" i="3"/>
  <c r="L6" i="2" l="1"/>
  <c r="M6" i="2" s="1"/>
</calcChain>
</file>

<file path=xl/sharedStrings.xml><?xml version="1.0" encoding="utf-8"?>
<sst xmlns="http://schemas.openxmlformats.org/spreadsheetml/2006/main" count="1102" uniqueCount="732">
  <si>
    <t>A. 기본정보 섹션 (보고서 첫 머리 / 심의신청서 영역)</t>
  </si>
  <si>
    <t>필드ID</t>
  </si>
  <si>
    <t>필드명 (엑셀 컬럼)</t>
  </si>
  <si>
    <t>형식</t>
  </si>
  <si>
    <t>보고서 반영 위치</t>
  </si>
  <si>
    <t>비고</t>
  </si>
  <si>
    <t>A01</t>
  </si>
  <si>
    <t>문서접수번호</t>
  </si>
  <si>
    <t>텍스트</t>
  </si>
  <si>
    <t>수기</t>
  </si>
  <si>
    <t>표지 상단</t>
  </si>
  <si>
    <t>내부 접수용 코드</t>
  </si>
  <si>
    <t>A02</t>
  </si>
  <si>
    <t>여신접수일자</t>
  </si>
  <si>
    <t>날짜(YYYY.MM.DD)</t>
  </si>
  <si>
    <t>-</t>
  </si>
  <si>
    <t>A03</t>
  </si>
  <si>
    <t>여신심사위원회 개최일자</t>
  </si>
  <si>
    <t>날짜</t>
  </si>
  <si>
    <t>A04</t>
  </si>
  <si>
    <t>신청유형</t>
  </si>
  <si>
    <t>드롭다운(신규/기한연장/대환/조건변경)</t>
  </si>
  <si>
    <t>체크박스 영역에 표시</t>
  </si>
  <si>
    <t>문구 “■ 신규 □ …” 형식 자동 생성</t>
  </si>
  <si>
    <t>A05</t>
  </si>
  <si>
    <t>신청부서</t>
  </si>
  <si>
    <t>예: “종합금융1부2팀”</t>
  </si>
  <si>
    <t>A06</t>
  </si>
  <si>
    <t>권유자</t>
  </si>
  <si>
    <t>권유자 직급 포함 가능</t>
  </si>
  <si>
    <t>A07</t>
  </si>
  <si>
    <t>담당 심사역</t>
  </si>
  <si>
    <t>A08</t>
  </si>
  <si>
    <t>상품명</t>
  </si>
  <si>
    <t>“대부업(체)대출”, “대부업자금대출” 등</t>
  </si>
  <si>
    <t>A09</t>
  </si>
  <si>
    <t>신청사 명칭(법인명)</t>
  </si>
  <si>
    <t>표지 / 1.대출개요 / 3.신청사현황</t>
  </si>
  <si>
    <t>A10</t>
  </si>
  <si>
    <t>연대보증인</t>
  </si>
  <si>
    <t>텍스트(복수 가능)</t>
  </si>
  <si>
    <t>표지 / 채권보전 계획</t>
  </si>
  <si>
    <t>최대주주명, 관계사명 등</t>
  </si>
  <si>
    <t>A11</t>
  </si>
  <si>
    <t>관계사</t>
  </si>
  <si>
    <t>텍스트 또는 다중선택</t>
  </si>
  <si>
    <t>표지 / 관계사 현황 섹션(G)</t>
  </si>
  <si>
    <t>관계사 없으면 “해당사항 없음” 출력</t>
  </si>
  <si>
    <t>B. 대출 개요 섹션 (1. 대출 개요)</t>
  </si>
  <si>
    <t>B01</t>
  </si>
  <si>
    <t>대출금액</t>
  </si>
  <si>
    <t>숫자 (원 단위)</t>
  </si>
  <si>
    <t>“금○○억원(\○○)”</t>
  </si>
  <si>
    <t>B02</t>
  </si>
  <si>
    <t>대출과목</t>
  </si>
  <si>
    <t>“일반자금대출” 등</t>
  </si>
  <si>
    <t>내부 상품코드 맵핑 가능</t>
  </si>
  <si>
    <t>B03</t>
  </si>
  <si>
    <t>대출이율</t>
  </si>
  <si>
    <t>숫자(%)</t>
  </si>
  <si>
    <t>“7.80%”</t>
  </si>
  <si>
    <t>소수 2자리 고정 권장</t>
  </si>
  <si>
    <t>B04</t>
  </si>
  <si>
    <t>대출기간(개월)</t>
  </si>
  <si>
    <t>숫자</t>
  </si>
  <si>
    <t>“20개월” 등</t>
  </si>
  <si>
    <t>만기일 자동계산용으로도 활용 가능</t>
  </si>
  <si>
    <t>B05</t>
  </si>
  <si>
    <t>취급예정일</t>
  </si>
  <si>
    <t>“2024.07.00”</t>
  </si>
  <si>
    <t>00일 처리도 실제 템플릿 그대로 반영 가능하게 허용</t>
  </si>
  <si>
    <t>B06</t>
  </si>
  <si>
    <t>상환방식</t>
  </si>
  <si>
    <t>드롭다운(원리금균등분할/원금균등/만기일시/원금자유/원리금균등+잔존만기일시 등)</t>
  </si>
  <si>
    <t>개요/상환방법/월 상환액</t>
  </si>
  <si>
    <t>상품별로 다름</t>
  </si>
  <si>
    <t>B07</t>
  </si>
  <si>
    <t>월 상환스케줄(월 상환액)</t>
  </si>
  <si>
    <t>숫자(백만원 단위 표기용)</t>
  </si>
  <si>
    <t>자동 계산 가능</t>
  </si>
  <si>
    <t>“원리금균등분할상환(월 53.4백만원)”</t>
  </si>
  <si>
    <t>원리금균등 등 공식을 엑셀에서 계산 후 텍스트에 삽입</t>
  </si>
  <si>
    <t>B08</t>
  </si>
  <si>
    <t>자금용도</t>
  </si>
  <si>
    <t>텍스트 (운영자금/리파이낸싱/채권매입재원 등)</t>
  </si>
  <si>
    <t>대출 개요에 “자금용도 운영자금”</t>
  </si>
  <si>
    <t>심사포인트</t>
  </si>
  <si>
    <t>B09</t>
  </si>
  <si>
    <t>총자산한도배수</t>
  </si>
  <si>
    <t>숫자(x.xx배)</t>
  </si>
  <si>
    <t>자동 (B/S에서 산출)</t>
  </si>
  <si>
    <t>“총자산한도 6.20배(’23.12 기준)”</t>
  </si>
  <si>
    <t>B10</t>
  </si>
  <si>
    <t>취급예정일 기준 대부업대출 잔액</t>
  </si>
  <si>
    <t>숫자(억원)</t>
  </si>
  <si>
    <t>수기 또는 자동(관계사 포함?)</t>
  </si>
  <si>
    <t>대출개요 표 안에 들어감</t>
  </si>
  <si>
    <t>심사기관별로 요구할 수 있음</t>
  </si>
  <si>
    <t>B11</t>
  </si>
  <si>
    <t>중도상환수수료 조건</t>
  </si>
  <si>
    <t>“취급 후 15개월 내 스케줄 외 상환 시 1%”</t>
  </si>
  <si>
    <t>전형적 코븐언트, 자동 문구화 가능(매개변수: 개월수, %)</t>
  </si>
  <si>
    <t>B12</t>
  </si>
  <si>
    <t>담보 조건 - 물적</t>
  </si>
  <si>
    <t>텍스트(템플릿+변수)</t>
  </si>
  <si>
    <t>반자동</t>
  </si>
  <si>
    <t>“당행 대출금액의 130%에 해당하는 신청사 신용대출채권 양도 담보”</t>
  </si>
  <si>
    <t>%와 담보자산 종류(신용채권/부동산담보채권 등)를 변수화</t>
  </si>
  <si>
    <t>B13</t>
  </si>
  <si>
    <t>담보 조건 - 인적</t>
  </si>
  <si>
    <t>“최대주주 000 한정근보증(대출금의 130%)”</t>
  </si>
  <si>
    <t>보증 범위(%), 보증인명 변수화</t>
  </si>
  <si>
    <t>B14</t>
  </si>
  <si>
    <t>담보유지 의무/사후관리</t>
  </si>
  <si>
    <t>“담보비율 130% 미달 시 익월 채권교체” 등</t>
  </si>
  <si>
    <t>사후관리 조항 세트화 가능</t>
  </si>
  <si>
    <t>C. 채권보전 / 기존 거래현황 (2. 채권보전 계획 + 신청사 당행 차입현황)</t>
  </si>
  <si>
    <t>C01</t>
  </si>
  <si>
    <t>담보비율 요건(%)</t>
  </si>
  <si>
    <t>“당행 대출금액의 130%”</t>
  </si>
  <si>
    <t>기본값 130% 많이 반복됨</t>
  </si>
  <si>
    <t>C02</t>
  </si>
  <si>
    <t>담보자산 유형</t>
  </si>
  <si>
    <t>드롭다운(신용대출채권/부동산담보/기타)</t>
  </si>
  <si>
    <t>물적담보 설명</t>
  </si>
  <si>
    <t>업체마다 다름</t>
  </si>
  <si>
    <t>C03</t>
  </si>
  <si>
    <t>담보자산 잔액(담보제공가능채권)</t>
  </si>
  <si>
    <t>“담보제공 가능 신용대출채권 약 57억원” 등</t>
  </si>
  <si>
    <t>보고서에 그대로 노출됨</t>
  </si>
  <si>
    <t>C04</t>
  </si>
  <si>
    <t>담보추적 방식</t>
  </si>
  <si>
    <t>드롭다운(월별확인서/담보실사/IP조회 등)</t>
  </si>
  <si>
    <t>“월별 채권내역 확인서 제출 또는 전산 제공”</t>
  </si>
  <si>
    <t>반정형</t>
  </si>
  <si>
    <t>C05</t>
  </si>
  <si>
    <t>보증인1 이름</t>
  </si>
  <si>
    <t>인적담보 표</t>
  </si>
  <si>
    <t>최대주주명</t>
  </si>
  <si>
    <t>C06</t>
  </si>
  <si>
    <t>보증인1 보증형태</t>
  </si>
  <si>
    <t>드롭다운(연대보증/한정근보증 등)</t>
  </si>
  <si>
    <t>C07</t>
  </si>
  <si>
    <t>보증한도비율</t>
  </si>
  <si>
    <t>“대출금의 130%”</t>
  </si>
  <si>
    <t>동일패턴</t>
  </si>
  <si>
    <t>C08</t>
  </si>
  <si>
    <t>보증인1 주요 경력</t>
  </si>
  <si>
    <t>보증인 경력 사항 표</t>
  </si>
  <si>
    <t>NICE 점수 등 포함 가능 여부</t>
  </si>
  <si>
    <t>C09</t>
  </si>
  <si>
    <t>기거래 이력(회차/누적취급액/정상여부)</t>
  </si>
  <si>
    <t>표(회차별, 금액별)</t>
  </si>
  <si>
    <t>일부 자동</t>
  </si>
  <si>
    <t>“2014년~현재까지 누적 몇 회, 누적취급액 ○○억원 정상거래”</t>
  </si>
  <si>
    <t>여신사내 레코드에서 끌어올 수 있는 값이면 자동화 가능</t>
  </si>
  <si>
    <t>C10</t>
  </si>
  <si>
    <t>신청사 및 관계사 당행 차입현황 테이블</t>
  </si>
  <si>
    <t>표(대출일, 만기일, 금리, 약정담보비율, 현 담보비율, 담보금액 등)</t>
  </si>
  <si>
    <t>수기/붙여넣기</t>
  </si>
  <si>
    <t>본문 및 별첨</t>
  </si>
  <si>
    <t>이 표는 붙여넣기 형태여도 Word에 그대로 박혀야 해서 Range 변환으로 자동화 가능</t>
  </si>
  <si>
    <t>D. 신청사 현황 (3. 신청사 현황)</t>
  </si>
  <si>
    <t>D1. 기본 법인 정보</t>
  </si>
  <si>
    <t>D01</t>
  </si>
  <si>
    <t>상호(법인명)</t>
  </si>
  <si>
    <t>“업체명”</t>
  </si>
  <si>
    <t>D02</t>
  </si>
  <si>
    <t>대표이사 성명</t>
  </si>
  <si>
    <t>“대표이사 ○○○”</t>
  </si>
  <si>
    <t>복수 대표(각자대표) 가능</t>
  </si>
  <si>
    <t>D03</t>
  </si>
  <si>
    <t>사업내용(업태/업종)</t>
  </si>
  <si>
    <t>“대부업” 등</t>
  </si>
  <si>
    <t>업종코드 통일 필요</t>
  </si>
  <si>
    <t>D04</t>
  </si>
  <si>
    <t>기업형태</t>
  </si>
  <si>
    <t>드롭다운(외감, 코스닥, 중소, 비외감 등)</t>
  </si>
  <si>
    <t>“기업형태 외감” 등</t>
  </si>
  <si>
    <t>D05</t>
  </si>
  <si>
    <t>본사 주소</t>
  </si>
  <si>
    <t>본사 소재지</t>
  </si>
  <si>
    <t>D06</t>
  </si>
  <si>
    <t>설립일</t>
  </si>
  <si>
    <t>“설립일자 2014년 12월 15일”</t>
  </si>
  <si>
    <t>포맷 유지</t>
  </si>
  <si>
    <t>D07</t>
  </si>
  <si>
    <t>자본금(자본금=납입자본금)</t>
  </si>
  <si>
    <t>숫자(백만원/억원)</t>
  </si>
  <si>
    <t>“자본금 1,142백만원” 등</t>
  </si>
  <si>
    <t>D08</t>
  </si>
  <si>
    <t>대부업 등록번호</t>
  </si>
  <si>
    <t>“2016-금감원-0037(대부업)”</t>
  </si>
  <si>
    <t>규제 준수 체크 요소</t>
  </si>
  <si>
    <t>D09</t>
  </si>
  <si>
    <t>사업자등록번호/법인등록번호</t>
  </si>
  <si>
    <t>신청사 개요 표</t>
  </si>
  <si>
    <t>심사 시 필수확인 항목</t>
  </si>
  <si>
    <t>D2. 주주현황</t>
  </si>
  <si>
    <t>D10</t>
  </si>
  <si>
    <t>주주명</t>
  </si>
  <si>
    <t>텍스트(복수행)</t>
  </si>
  <si>
    <t>주주현황 표 열</t>
  </si>
  <si>
    <t>최대주주 식별 필요</t>
  </si>
  <si>
    <t>D11</t>
  </si>
  <si>
    <t>주식수</t>
  </si>
  <si>
    <t>주주현황 표</t>
  </si>
  <si>
    <t>D12</t>
  </si>
  <si>
    <t>출자금액</t>
  </si>
  <si>
    <t>숫자(원)</t>
  </si>
  <si>
    <t>D13</t>
  </si>
  <si>
    <t>지분율(%)</t>
  </si>
  <si>
    <t>계산식: 해당주식수 / 전체주식수</t>
  </si>
  <si>
    <t>D14</t>
  </si>
  <si>
    <t>비고(최대주주/대표이사 등)</t>
  </si>
  <si>
    <t>보고서 문구에 그대로 나감</t>
  </si>
  <si>
    <t>D3. 경영진/대표이사 이력</t>
  </si>
  <si>
    <t>D20</t>
  </si>
  <si>
    <t>경영진 이름</t>
  </si>
  <si>
    <t>“박은섭(740112-1)” 등</t>
  </si>
  <si>
    <t>주민번호 마스킹 수준은 내부 기준에 맞춰야 함</t>
  </si>
  <si>
    <t>D21</t>
  </si>
  <si>
    <t>주요 경력(과거 직책)</t>
  </si>
  <si>
    <t>멀티라인 텍스트</t>
  </si>
  <si>
    <t>대표이사 경력사항 표</t>
  </si>
  <si>
    <t>템플릿화 가능 (“前 ○○”, “現 ○○”)</t>
  </si>
  <si>
    <t>D22</t>
  </si>
  <si>
    <t>현재직함</t>
  </si>
  <si>
    <t>경력사항 표</t>
  </si>
  <si>
    <t>D23</t>
  </si>
  <si>
    <t>신용등급/신용점수</t>
  </si>
  <si>
    <t>숫자 또는 텍스트</t>
  </si>
  <si>
    <t>보증인 정보 등</t>
  </si>
  <si>
    <t>NICE 점수 등 나오는 경우 있음</t>
  </si>
  <si>
    <t>D4. 회사 연혁</t>
  </si>
  <si>
    <t>D30</t>
  </si>
  <si>
    <t>연혁리스트</t>
  </si>
  <si>
    <t>연도별 bullet 텍스트</t>
  </si>
  <si>
    <t>“연혁” 표/리스트</t>
  </si>
  <si>
    <t>E. 재무현황 (3.(4)(5)(6) 재무제표, 주요지표, 차입금)</t>
  </si>
  <si>
    <t>E1. 재무제표(연간 혹은 가결산 기준 포함)</t>
  </si>
  <si>
    <t>E01</t>
  </si>
  <si>
    <t>기준일</t>
  </si>
  <si>
    <t>날짜(YYYY.MM 또는 YYYY.MM.DD)</t>
  </si>
  <si>
    <t>표 머리열 (2021.12, 2022.12…)</t>
  </si>
  <si>
    <t>여러 기간 칼럼</t>
  </si>
  <si>
    <t>E02</t>
  </si>
  <si>
    <t>자산총계</t>
  </si>
  <si>
    <t>숫자(백만원)</t>
  </si>
  <si>
    <t>재무상태표/요약재무제표</t>
  </si>
  <si>
    <t>E03</t>
  </si>
  <si>
    <t>부채총계</t>
  </si>
  <si>
    <t>재무상태표</t>
  </si>
  <si>
    <t>E04</t>
  </si>
  <si>
    <t>자본총계</t>
  </si>
  <si>
    <t>자동(E02-E03) 또는 수기</t>
  </si>
  <si>
    <t>내부소스에 따라 다르게</t>
  </si>
  <si>
    <t>E05</t>
  </si>
  <si>
    <t>자본금</t>
  </si>
  <si>
    <t>납입자본금과 동일해야 함</t>
  </si>
  <si>
    <t>E06</t>
  </si>
  <si>
    <t>현금성자산</t>
  </si>
  <si>
    <t>E07</t>
  </si>
  <si>
    <t>대출채권(장부가)</t>
  </si>
  <si>
    <t>골든/오케이 둘 다 핵심</t>
  </si>
  <si>
    <t>E08</t>
  </si>
  <si>
    <t>대출금(=대출채권 Gross)</t>
  </si>
  <si>
    <t>일부 보고서 표현 “대출금”을 별도 라인</t>
  </si>
  <si>
    <t>E09</t>
  </si>
  <si>
    <t>대손충당금</t>
  </si>
  <si>
    <t>숫자(백만원, 음수)</t>
  </si>
  <si>
    <t>재무상태표 및 충당금 현황</t>
  </si>
  <si>
    <t>충당금률 계산에 사용</t>
  </si>
  <si>
    <t>E10</t>
  </si>
  <si>
    <t>차입부채(또는 금융부채)</t>
  </si>
  <si>
    <t>단기/장기 쪼개서 들어가는 경우 있음</t>
  </si>
  <si>
    <t>E11</t>
  </si>
  <si>
    <t>매출액/영업수익</t>
  </si>
  <si>
    <t>손익계산서</t>
  </si>
  <si>
    <t>E12</t>
  </si>
  <si>
    <t>이자비용</t>
  </si>
  <si>
    <t>이자원가율에 쓰임</t>
  </si>
  <si>
    <t>E13</t>
  </si>
  <si>
    <t>대손상각비</t>
  </si>
  <si>
    <t>대손비용율 계산에 사용</t>
  </si>
  <si>
    <t>E14</t>
  </si>
  <si>
    <t>모집비용/판관비</t>
  </si>
  <si>
    <t>모집비용율, 판관비율 계산에 사용</t>
  </si>
  <si>
    <t>E15</t>
  </si>
  <si>
    <t>영업이익</t>
  </si>
  <si>
    <t>자동(E11 - 매출원가계정) 가능</t>
  </si>
  <si>
    <t>E16</t>
  </si>
  <si>
    <t>당기순이익</t>
  </si>
  <si>
    <t>손익계산서 / 요약재무제표</t>
  </si>
  <si>
    <t>ROA/ROE에 들어감</t>
  </si>
  <si>
    <t>E17</t>
  </si>
  <si>
    <t>법인세차감전 순이익</t>
  </si>
  <si>
    <t>주요지표용</t>
  </si>
  <si>
    <t>일부 보고서에서 지표로 사용</t>
  </si>
  <si>
    <t>E2. 주요지표 (보고서에서 별도로 제시되는 KPI)</t>
  </si>
  <si>
    <t>E20</t>
  </si>
  <si>
    <t>총자산증가율</t>
  </si>
  <si>
    <t>(당기총자산-전기총자산)/전기총자산</t>
  </si>
  <si>
    <t>“총자산증가율 x%”</t>
  </si>
  <si>
    <t>전기 대비 기준. 전기 총자산 0 등 특이치 예외 처리</t>
  </si>
  <si>
    <t>E21</t>
  </si>
  <si>
    <t>대출채권 증가율</t>
  </si>
  <si>
    <t>(당기대출채권-전기대출채권)/전기대출채권</t>
  </si>
  <si>
    <t>“대출채권 증가율 x%”</t>
  </si>
  <si>
    <t>E22</t>
  </si>
  <si>
    <t>자기자본비율</t>
  </si>
  <si>
    <t>자기자본 / 총자산</t>
  </si>
  <si>
    <t>“자기자본비율 x%”</t>
  </si>
  <si>
    <t>자기자본=자본총계</t>
  </si>
  <si>
    <t>E23</t>
  </si>
  <si>
    <t>법인세차감전 순이익율</t>
  </si>
  <si>
    <t>법인세차감전순이익 / 총자산</t>
  </si>
  <si>
    <t>그대로 사용</t>
  </si>
  <si>
    <t>정의 고정 필요</t>
  </si>
  <si>
    <t>E24</t>
  </si>
  <si>
    <t>ROA</t>
  </si>
  <si>
    <t>당기순이익 / 총자산</t>
  </si>
  <si>
    <t>ROA(총자산수익률)</t>
  </si>
  <si>
    <t>E25</t>
  </si>
  <si>
    <t>ROE</t>
  </si>
  <si>
    <t>당기순이익 / 자기자본</t>
  </si>
  <si>
    <t>ROE(자기자본이익률)</t>
  </si>
  <si>
    <t>자기자본 평균 vs 기말? 지금 보고서는 기말 기준으로 보임</t>
  </si>
  <si>
    <t>E26</t>
  </si>
  <si>
    <t>영업수익대 영업이익률</t>
  </si>
  <si>
    <t>영업이익 / 영업수익</t>
  </si>
  <si>
    <t>영업수익대 영업이익율 x%</t>
  </si>
  <si>
    <t>명칭 그대로 사용</t>
  </si>
  <si>
    <t>E27</t>
  </si>
  <si>
    <t>영업수익대 순이익률</t>
  </si>
  <si>
    <t>당기순이익 / 영업수익</t>
  </si>
  <si>
    <t>영업수익대 순이익율 x%</t>
  </si>
  <si>
    <t>E28</t>
  </si>
  <si>
    <t>대출채권평잔</t>
  </si>
  <si>
    <t>(전기대출채권+당기대출채권)/2</t>
  </si>
  <si>
    <t>“대출채권평잔 xxxx”</t>
  </si>
  <si>
    <t>E29</t>
  </si>
  <si>
    <t>운용수익율(A)</t>
  </si>
  <si>
    <t>대출금이자수익 / 대출채권평잔</t>
  </si>
  <si>
    <t>“운용수익율(A)”</t>
  </si>
  <si>
    <t>A</t>
  </si>
  <si>
    <t>E30</t>
  </si>
  <si>
    <t>이자원가율(B)</t>
  </si>
  <si>
    <t>차입금이자비용 / 대출채권평잔</t>
  </si>
  <si>
    <t>“이자원가율(B)”</t>
  </si>
  <si>
    <t>B</t>
  </si>
  <si>
    <t>E31</t>
  </si>
  <si>
    <t>대손비용율(C)</t>
  </si>
  <si>
    <t>대손상각비 / 대출채권평잔</t>
  </si>
  <si>
    <t>“대손비용율(C)”</t>
  </si>
  <si>
    <t>C</t>
  </si>
  <si>
    <t>E32</t>
  </si>
  <si>
    <t>모집비용율(D)</t>
  </si>
  <si>
    <t>모집비용 / 대출채권평잔</t>
  </si>
  <si>
    <t>“모집비용율(D)”</t>
  </si>
  <si>
    <t>D</t>
  </si>
  <si>
    <t>E33</t>
  </si>
  <si>
    <t>판관비용율(E)</t>
  </si>
  <si>
    <t>기타관리비 / 대출채권평잔</t>
  </si>
  <si>
    <t>“기타관리비율(E)”</t>
  </si>
  <si>
    <t>E</t>
  </si>
  <si>
    <t>E34</t>
  </si>
  <si>
    <t>영업이익율</t>
  </si>
  <si>
    <t>A-B-C-D-E</t>
  </si>
  <si>
    <t>“영업이익율(A-B-C-D-E)”</t>
  </si>
  <si>
    <t>구조 고정식 -&gt; 엑셀에서 바로 산식 가능</t>
  </si>
  <si>
    <t>E3. 차입금 현황</t>
  </si>
  <si>
    <t>(별첨 및 본문 둘 다에 들어감. 은행/여전사/저축은행/사모사채 등 소스별로 요약표 + 상세표)</t>
  </si>
  <si>
    <t>E40</t>
  </si>
  <si>
    <t>차입처 구분</t>
  </si>
  <si>
    <t>드롭다운(1금융/저축은행/여전사/사모사채/종금사/일반투자자 등)</t>
  </si>
  <si>
    <t>별첨 표</t>
  </si>
  <si>
    <t>E41</t>
  </si>
  <si>
    <t>한도금액</t>
  </si>
  <si>
    <t>E42</t>
  </si>
  <si>
    <t>대출잔액</t>
  </si>
  <si>
    <t>별첨 표 및 요약표 합계</t>
  </si>
  <si>
    <t>E43</t>
  </si>
  <si>
    <t>금리</t>
  </si>
  <si>
    <t>E44</t>
  </si>
  <si>
    <t>차입일</t>
  </si>
  <si>
    <t>E45</t>
  </si>
  <si>
    <t>만기일</t>
  </si>
  <si>
    <t>E46</t>
  </si>
  <si>
    <t>드롭다운(원금균등/원리금균등/만기일시 등)</t>
  </si>
  <si>
    <t>E47</t>
  </si>
  <si>
    <t>담보제공 내역</t>
  </si>
  <si>
    <t>텍스트(신용채권/부동산/무담보 등)</t>
  </si>
  <si>
    <t>E48</t>
  </si>
  <si>
    <t>차입구조 요약</t>
  </si>
  <si>
    <t>합계/비율(%)</t>
  </si>
  <si>
    <t>자동 (피벗)</t>
  </si>
  <si>
    <t>“저축은행 43.2%” 등 요약표</t>
  </si>
  <si>
    <t>F. 영업현황 (4. 신청사 영업현황)</t>
  </si>
  <si>
    <t>F01</t>
  </si>
  <si>
    <t>주요상품명</t>
  </si>
  <si>
    <t>“신용대출 / 후순위 소액담보대출 / 지분대출 …”</t>
  </si>
  <si>
    <t>F02</t>
  </si>
  <si>
    <t>상품 대상</t>
  </si>
  <si>
    <t>“개시자, 회생자, 회복자 …” 등</t>
  </si>
  <si>
    <t>규제 민감도 有</t>
  </si>
  <si>
    <t>F03</t>
  </si>
  <si>
    <t>한도(백만원)</t>
  </si>
  <si>
    <t>상품 테이블</t>
  </si>
  <si>
    <t>F04</t>
  </si>
  <si>
    <t>금리(%)</t>
  </si>
  <si>
    <t>법정 최고금리 등과 비교될 여지</t>
  </si>
  <si>
    <t>F05</t>
  </si>
  <si>
    <t>대출기간(개월 또는 M)</t>
  </si>
  <si>
    <t>“24M~36M” 같이 범위형 가능</t>
  </si>
  <si>
    <t>F06</t>
  </si>
  <si>
    <t>드롭다운(원리금균등/만기일시/원금자유 등)</t>
  </si>
  <si>
    <t>F07</t>
  </si>
  <si>
    <t>월별 자산/부채/자본/당기손익(누적)</t>
  </si>
  <si>
    <t>표(월 시계열)</t>
  </si>
  <si>
    <t>수기(붙여넣기)</t>
  </si>
  <si>
    <t>월별 영업현황 표</t>
  </si>
  <si>
    <t>나중에 그래프화 가능</t>
  </si>
  <si>
    <t>F08</t>
  </si>
  <si>
    <t>월별 대출취급(신규/재대출/소계)</t>
  </si>
  <si>
    <t>월별 대출취급 및 상환 현황</t>
  </si>
  <si>
    <t>신규/재대출 구분 필수</t>
  </si>
  <si>
    <t>F09</t>
  </si>
  <si>
    <t>월별 회수액(원금/이자)</t>
  </si>
  <si>
    <t>동일 표</t>
  </si>
  <si>
    <t>상환능력 판단자료</t>
  </si>
  <si>
    <t>F10</t>
  </si>
  <si>
    <t>월별 대출잔액</t>
  </si>
  <si>
    <t>“월간 순증액” 계산에 사용</t>
  </si>
  <si>
    <t>F11</t>
  </si>
  <si>
    <t>월별 월간 순증액</t>
  </si>
  <si>
    <t>자동 (당월잔액-전월잔액)</t>
  </si>
  <si>
    <t>자동</t>
  </si>
  <si>
    <t>단위 백만원</t>
  </si>
  <si>
    <t>F12</t>
  </si>
  <si>
    <t>월별 대출건수 / 평균단가</t>
  </si>
  <si>
    <t>수기+자동(평균단가=금액÷건수)</t>
  </si>
  <si>
    <t>월별 현황</t>
  </si>
  <si>
    <t>소액 다건인지 중대형인지 파악용</t>
  </si>
  <si>
    <t>F13</t>
  </si>
  <si>
    <t>평균이자율</t>
  </si>
  <si>
    <t>자동 또는 수기</t>
  </si>
  <si>
    <t>F14</t>
  </si>
  <si>
    <t>대출규모 구간별 잔액 (300만 이하, 500만 이하 … 2,000만 초과 등)</t>
  </si>
  <si>
    <t>월별 현황 하단 구간별 잔액</t>
  </si>
  <si>
    <t>G. 관계사 현황 (오케이 ↔ 골든 식 구조)</t>
  </si>
  <si>
    <t>G01</t>
  </si>
  <si>
    <t>관계사 명칭</t>
  </si>
  <si>
    <t>“관계사 ㈜오케이파이낸셜대부” 등</t>
  </si>
  <si>
    <t>해당 보고서에서 ‘관계사’ 또는 ‘보증사’로 호출되는 대상</t>
  </si>
  <si>
    <t>G02</t>
  </si>
  <si>
    <t>관계사 대표자</t>
  </si>
  <si>
    <t>관계사 개요표</t>
  </si>
  <si>
    <t>G03</t>
  </si>
  <si>
    <t>관계사 자본금</t>
  </si>
  <si>
    <t>G04</t>
  </si>
  <si>
    <t>관계사 재무요약 (자산총계, 부채총계, 자본총계, 영업이익, 당기순이익 등)</t>
  </si>
  <si>
    <t>표(연도별)</t>
  </si>
  <si>
    <t>관계사 요약재무제표</t>
  </si>
  <si>
    <t>오케이↔골든 서로 cross reference 형태</t>
  </si>
  <si>
    <t>G05</t>
  </si>
  <si>
    <t>관계사와의 여신/보증관계</t>
  </si>
  <si>
    <t>“관계사 A 기여신 잔액 ○억원”</t>
  </si>
  <si>
    <t>내부 익스포저 체크용</t>
  </si>
  <si>
    <t>G06</t>
  </si>
  <si>
    <t>관계사 차입구조 요약</t>
  </si>
  <si>
    <t>표 / 피벗</t>
  </si>
  <si>
    <t>자동 가능</t>
  </si>
  <si>
    <t>관계사 차입금 요약표</t>
  </si>
  <si>
    <t>최종 판단에서 함께 본다는 점이 심사상 핵심이므로 빠지면 안 됨</t>
  </si>
  <si>
    <t>H. 최종의견 (심사/영업부서 코멘트)</t>
  </si>
  <si>
    <t>H01</t>
  </si>
  <si>
    <t>회사 요약 코멘트</t>
  </si>
  <si>
    <t>자유 텍스트</t>
  </si>
  <si>
    <t>“신청사는 20xx년 설립되어…” 문단 첫 줄</t>
  </si>
  <si>
    <t>회사 개요 요약</t>
  </si>
  <si>
    <t>H02</t>
  </si>
  <si>
    <t>재무 상태 판단</t>
  </si>
  <si>
    <t>자유 텍스트(템플릿 + 변수 가능)</t>
  </si>
  <si>
    <t>“’23년말 당기순이익 xx억원 시현하였으며…”</t>
  </si>
  <si>
    <t>E섹션 값 치환 가능</t>
  </si>
  <si>
    <t>H03</t>
  </si>
  <si>
    <t>리스크 인지 사항</t>
  </si>
  <si>
    <t>“연체율 다소 상승 / 충당금 적립비율 xx% 등”</t>
  </si>
  <si>
    <t>연체율, 총자산한도 규제준수 여부 반영</t>
  </si>
  <si>
    <t>H04</t>
  </si>
  <si>
    <t>상환가능성 / 담보커버 판단</t>
  </si>
  <si>
    <t>자유 텍스트(템플릿+비율)</t>
  </si>
  <si>
    <t>“담보비율 130% 유지 가능으로 회수에 문제 없을 것으로 판단됨”</t>
  </si>
  <si>
    <t>C01, C03 자동 삽입 가능</t>
  </si>
  <si>
    <t>H05</t>
  </si>
  <si>
    <t>승인 제안 문구</t>
  </si>
  <si>
    <t>자유 텍스트(Yes/Conditional)</t>
  </si>
  <si>
    <t>마지막 문장</t>
  </si>
  <si>
    <t>내부 컴플라이언스 톤 유지 필요</t>
  </si>
  <si>
    <t>상호 반드시 등기 상호 기준. Mandatory Correction</t>
  </si>
  <si>
    <t>억환산 표기와 원 표기를 동시에 넣어야 하므로 두 값 모두 관리 권장. Mandatory Correction</t>
  </si>
  <si>
    <t>계산식: 총자산 / 자기자본. Mandatory Correction 용어 동일 유지</t>
  </si>
  <si>
    <t>A09와 동일 값 매핑. Mandatory Correction</t>
  </si>
  <si>
    <t>단위 표기 반드시 일관. Mandatory Correction</t>
  </si>
  <si>
    <t>단위는 “백만원”. Mandatory Correction</t>
  </si>
  <si>
    <t>보고서에서 “영업수익” vs “매출액” 용어 혼용. Mandatory Correction: 텍스트 표준화 필요</t>
  </si>
  <si>
    <t>총자산은 보통 기말자산 사용 중. 평균자산으로 바꾸면 정의 변경 → Mandatory Correction</t>
  </si>
  <si>
    <t>충당금 차감 전 대출채권(=‘대출금’으로 정의) 사용. Mandatory Correction</t>
  </si>
  <si>
    <t>정의: 누적이자수익/잔액 등 회사별 정의 주의. Mandatory Correction</t>
  </si>
  <si>
    <t>포트폴리오 구성 분석. 구간 라벨은 그대로 써야 함 (임의로 바꾸면 안 됨). Mandatory Correction</t>
  </si>
  <si>
    <t>&gt;&gt; 개별 보고서 해당여부</t>
    <phoneticPr fontId="1" type="noConversion"/>
  </si>
  <si>
    <t>(주)오케이파이낸셜대부 신청의견(신규)_24.07_최종</t>
  </si>
  <si>
    <t>신청의견_(주)골든캐피탈대부_24.07_최종</t>
  </si>
  <si>
    <t>신청의견_(주)안전대부_24.06</t>
  </si>
  <si>
    <t>o</t>
    <phoneticPr fontId="1" type="noConversion"/>
  </si>
  <si>
    <t>자동화 필요여부</t>
    <phoneticPr fontId="1" type="noConversion"/>
  </si>
  <si>
    <t>불필요</t>
  </si>
  <si>
    <t>불필요</t>
    <phoneticPr fontId="1" type="noConversion"/>
  </si>
  <si>
    <t>필요</t>
  </si>
  <si>
    <t>필요</t>
    <phoneticPr fontId="1" type="noConversion"/>
  </si>
  <si>
    <t>애매</t>
  </si>
  <si>
    <t>애매</t>
    <phoneticPr fontId="1" type="noConversion"/>
  </si>
  <si>
    <t>x</t>
    <phoneticPr fontId="1" type="noConversion"/>
  </si>
  <si>
    <t>차주</t>
    <phoneticPr fontId="1" type="noConversion"/>
  </si>
  <si>
    <t>금융기관</t>
    <phoneticPr fontId="1" type="noConversion"/>
  </si>
  <si>
    <t>Source</t>
    <phoneticPr fontId="1" type="noConversion"/>
  </si>
  <si>
    <t>금융기관</t>
    <phoneticPr fontId="1" type="noConversion"/>
  </si>
  <si>
    <t>자체</t>
    <phoneticPr fontId="1" type="noConversion"/>
  </si>
  <si>
    <t>재 무 상 태 표</t>
  </si>
  <si>
    <t>제 11 (당)기 2024년 12월 31일 현재</t>
  </si>
  <si>
    <t>제 10 (전)기 2023년 12월 31일 현재</t>
  </si>
  <si>
    <t>주식회사 오케이파이낸셜대부</t>
  </si>
  <si>
    <t>과목</t>
  </si>
  <si>
    <t>Ⅰ. 현금및예치금</t>
  </si>
  <si>
    <t>Ⅱ. 대출채권</t>
  </si>
  <si>
    <t>Ⅲ. 유형자산(주석3,6)</t>
  </si>
  <si>
    <t>Ⅳ. 무형자산(주석6)</t>
  </si>
  <si>
    <t>Ⅴ. 기타자산</t>
  </si>
  <si>
    <t>Ⅰ. 차입부채</t>
  </si>
  <si>
    <t>Ⅱ. 기타부채</t>
  </si>
  <si>
    <t>Ⅰ. 자본금(주석11)</t>
  </si>
  <si>
    <t>Ⅱ. 자본잉여금(주석11)</t>
  </si>
  <si>
    <t>Ⅲ. 기타포괄손익누계액(주석11)</t>
  </si>
  <si>
    <t>Ⅳ. 이익잉여금(주석11)</t>
  </si>
  <si>
    <t>부채및자본총계</t>
  </si>
  <si>
    <t>자             산</t>
  </si>
  <si>
    <t>자   산   총   계</t>
  </si>
  <si>
    <t>부   채   총   계</t>
  </si>
  <si>
    <t>자   본   총   계</t>
  </si>
  <si>
    <t>-&gt; 양식유지해서 워드로 I21</t>
    <phoneticPr fontId="1" type="noConversion"/>
  </si>
  <si>
    <t xml:space="preserve"> Raw data(자동으로엑셀에 입력) 셋팅된 엑셀 수식 적용시(특정셀 위치 반영) 결과값 도출 가능한지 </t>
    <phoneticPr fontId="1" type="noConversion"/>
  </si>
  <si>
    <t xml:space="preserve">결과 데이터를 보고서에 옮길 수 있는지 </t>
    <phoneticPr fontId="1" type="noConversion"/>
  </si>
  <si>
    <t>ㅇ</t>
    <phoneticPr fontId="1" type="noConversion"/>
  </si>
  <si>
    <t>총자산증가율</t>
    <phoneticPr fontId="1" type="noConversion"/>
  </si>
  <si>
    <t>cal</t>
    <phoneticPr fontId="1" type="noConversion"/>
  </si>
  <si>
    <t>차주한테 메일로 받은 raw데이터가 자동으로 붙어야함</t>
    <phoneticPr fontId="1" type="noConversion"/>
  </si>
  <si>
    <t>구분</t>
    <phoneticPr fontId="1" type="noConversion"/>
  </si>
  <si>
    <t>1금융</t>
    <phoneticPr fontId="1" type="noConversion"/>
  </si>
  <si>
    <t>엑셀</t>
    <phoneticPr fontId="1" type="noConversion"/>
  </si>
  <si>
    <t>잔액</t>
    <phoneticPr fontId="1" type="noConversion"/>
  </si>
  <si>
    <t>비율</t>
    <phoneticPr fontId="1" type="noConversion"/>
  </si>
  <si>
    <t xml:space="preserve">최종의견 </t>
    <phoneticPr fontId="1" type="noConversion"/>
  </si>
  <si>
    <t>4.3.1</t>
    <phoneticPr fontId="1" type="noConversion"/>
  </si>
  <si>
    <t xml:space="preserve">신청사 A09는 D06설립 &amp; D03,,, 시현한 </t>
    <phoneticPr fontId="1" type="noConversion"/>
  </si>
  <si>
    <t>업  체  명</t>
  </si>
  <si>
    <t>㈜안전대부</t>
  </si>
  <si>
    <t>취급수수료</t>
  </si>
  <si>
    <t>상환방법</t>
  </si>
  <si>
    <t xml:space="preserve">20개 표 </t>
    <phoneticPr fontId="1" type="noConversion"/>
  </si>
  <si>
    <t>항목</t>
  </si>
  <si>
    <t>2021.12</t>
  </si>
  <si>
    <t>2022.12</t>
  </si>
  <si>
    <t>2023.12</t>
  </si>
  <si>
    <t>2024.04(가)</t>
  </si>
  <si>
    <t>대출채권</t>
  </si>
  <si>
    <t>대출금</t>
  </si>
  <si>
    <t>기타자산</t>
  </si>
  <si>
    <t>금융부채</t>
  </si>
  <si>
    <t>단기금융부채</t>
  </si>
  <si>
    <t>장기금융부채</t>
  </si>
  <si>
    <t>기타부채</t>
  </si>
  <si>
    <t>자본잉여금</t>
  </si>
  <si>
    <t>이익잉여금</t>
  </si>
  <si>
    <t>매출액</t>
  </si>
  <si>
    <t>이자수익</t>
  </si>
  <si>
    <t>수수료수익</t>
  </si>
  <si>
    <t>매출원가</t>
  </si>
  <si>
    <t>모집비용</t>
  </si>
  <si>
    <t>기타판관비</t>
  </si>
  <si>
    <t>영업외수익</t>
  </si>
  <si>
    <t>영업외비용</t>
  </si>
  <si>
    <t>법인세비용차감전순이익</t>
  </si>
  <si>
    <t>법인세</t>
  </si>
  <si>
    <t>㈜오케이파이낸셜대부</t>
  </si>
  <si>
    <t>㈜골든캐피탈대부</t>
  </si>
  <si>
    <t>법인(사업)등록번호</t>
    <phoneticPr fontId="1" type="noConversion"/>
  </si>
  <si>
    <t>264-81-47097</t>
  </si>
  <si>
    <t>110111-5589580 / 264-81-47097</t>
    <phoneticPr fontId="1" type="noConversion"/>
  </si>
  <si>
    <t>Key</t>
  </si>
  <si>
    <t>Value</t>
  </si>
  <si>
    <t>10억원</t>
  </si>
  <si>
    <t>대출기간</t>
  </si>
  <si>
    <t>운영자금</t>
  </si>
  <si>
    <t>원리금균등분할상환(월 53.4백만원)</t>
  </si>
  <si>
    <t>물적담보</t>
  </si>
  <si>
    <t>인적담보</t>
  </si>
  <si>
    <t>1. 대출 개요</t>
  </si>
  <si>
    <t>2. 채권보전 계획</t>
  </si>
  <si>
    <t>신청사 대출채권 양도 (130% 이상 담보비율 유지)</t>
  </si>
  <si>
    <t>김봉철(대출금의 130%) 한정근보증 / ㈜골든캐피탈대부 연대보증</t>
  </si>
  <si>
    <t>김봉철 NICE평점</t>
  </si>
  <si>
    <t>917점</t>
  </si>
  <si>
    <t>3. 신청사 현황</t>
  </si>
  <si>
    <t>업체명</t>
  </si>
  <si>
    <t>대표자</t>
  </si>
  <si>
    <t>박은섭</t>
  </si>
  <si>
    <t>사업내용</t>
  </si>
  <si>
    <t>대부업</t>
  </si>
  <si>
    <t>본사소재지</t>
  </si>
  <si>
    <t>서울시 영등포구 국회대로74길 4, 2층</t>
  </si>
  <si>
    <t>설립일자</t>
  </si>
  <si>
    <t>1,142백만원</t>
  </si>
  <si>
    <t>대부업등록번호</t>
  </si>
  <si>
    <t>2016-금감원-0037(대부업)</t>
  </si>
  <si>
    <t>인원수</t>
  </si>
  <si>
    <t>30명</t>
  </si>
  <si>
    <t>사업자등록번호</t>
  </si>
  <si>
    <t>주주현황</t>
  </si>
  <si>
    <t>금액(원)</t>
  </si>
  <si>
    <t>지분율</t>
  </si>
  <si>
    <t>김봉철</t>
  </si>
  <si>
    <t>합계</t>
  </si>
  <si>
    <t>대표이사 박은섭 경력</t>
  </si>
  <si>
    <t>박은섭 출생</t>
  </si>
  <si>
    <t>740112-1XXXXXX</t>
  </si>
  <si>
    <t>경력</t>
  </si>
  <si>
    <t>前 ㈜굿모닝캐피탈대부 이사 / 前 ㈜케이지코퍼레이션대부 이사 / 現 ㈜골든캐피탈대부 대표이사 / 現 ㈜오케이파이낸셜대부 대표이사</t>
  </si>
  <si>
    <t>대출금액</t>
    <phoneticPr fontId="1" type="noConversion"/>
  </si>
  <si>
    <t>취급예정일</t>
    <phoneticPr fontId="1" type="noConversion"/>
  </si>
  <si>
    <t>대출과목</t>
    <phoneticPr fontId="1" type="noConversion"/>
  </si>
  <si>
    <r>
      <rPr>
        <sz val="9"/>
        <color theme="1"/>
        <rFont val="맑은 고딕"/>
        <family val="2"/>
      </rPr>
      <t>일반자금대출</t>
    </r>
    <phoneticPr fontId="1" type="noConversion"/>
  </si>
  <si>
    <t>-</t>
    <phoneticPr fontId="1" type="noConversion"/>
  </si>
  <si>
    <t>채권보전-물적담보</t>
    <phoneticPr fontId="1" type="noConversion"/>
  </si>
  <si>
    <t>당행 대출금액의 130%에 해당하는 신청사 대출채권 양도 담보</t>
  </si>
  <si>
    <t>채권보전-인적담보</t>
    <phoneticPr fontId="1" type="noConversion"/>
  </si>
  <si>
    <t>최대주주 김봉철, 관계사 ㈜골든캐피탈대부 연대보증 입보</t>
  </si>
  <si>
    <r>
      <t>20</t>
    </r>
    <r>
      <rPr>
        <sz val="9"/>
        <color theme="1"/>
        <rFont val="Batang"/>
        <family val="2"/>
        <charset val="129"/>
      </rPr>
      <t>개월</t>
    </r>
    <phoneticPr fontId="1" type="noConversion"/>
  </si>
  <si>
    <t>2024.07.00</t>
    <phoneticPr fontId="1" type="noConversion"/>
  </si>
  <si>
    <t>취급예정일 기준
대부업대출 잔액</t>
    <phoneticPr fontId="1" type="noConversion"/>
  </si>
  <si>
    <t>390억</t>
  </si>
  <si>
    <r>
      <rPr>
        <sz val="9"/>
        <color theme="1"/>
        <rFont val="맑은 고딕"/>
        <family val="2"/>
      </rPr>
      <t>중도상환수수료</t>
    </r>
    <phoneticPr fontId="1" type="noConversion"/>
  </si>
  <si>
    <t>총자산한도(자산/자본)</t>
  </si>
  <si>
    <t>6.20배 (23.12.기준)</t>
  </si>
  <si>
    <r>
      <rPr>
        <sz val="9"/>
        <color theme="1"/>
        <rFont val="Batang"/>
        <family val="2"/>
        <charset val="129"/>
      </rPr>
      <t>신청사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㈜오케이파이낸셜대부는</t>
    </r>
    <r>
      <rPr>
        <sz val="9"/>
        <color theme="1"/>
        <rFont val="Helvetica"/>
        <family val="2"/>
      </rPr>
      <t xml:space="preserve"> 2014</t>
    </r>
    <r>
      <rPr>
        <sz val="9"/>
        <color theme="1"/>
        <rFont val="Batang"/>
        <family val="2"/>
        <charset val="129"/>
      </rPr>
      <t>년</t>
    </r>
    <r>
      <rPr>
        <sz val="9"/>
        <color theme="1"/>
        <rFont val="Helvetica"/>
        <family val="2"/>
      </rPr>
      <t xml:space="preserve"> 12</t>
    </r>
    <r>
      <rPr>
        <sz val="9"/>
        <color theme="1"/>
        <rFont val="Batang"/>
        <family val="2"/>
        <charset val="129"/>
      </rPr>
      <t>월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설립되어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신용대출을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주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상품으로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대부업을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영위하고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있는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업체로서</t>
    </r>
    <r>
      <rPr>
        <sz val="9"/>
        <color theme="1"/>
        <rFont val="Helvetica"/>
        <family val="2"/>
      </rPr>
      <t xml:space="preserve"> 2023</t>
    </r>
    <r>
      <rPr>
        <sz val="9"/>
        <color theme="1"/>
        <rFont val="Batang"/>
        <family val="2"/>
        <charset val="129"/>
      </rPr>
      <t>년</t>
    </r>
    <r>
      <rPr>
        <sz val="9"/>
        <color theme="1"/>
        <rFont val="Helvetica"/>
        <family val="2"/>
      </rPr>
      <t xml:space="preserve"> 12</t>
    </r>
    <r>
      <rPr>
        <sz val="9"/>
        <color theme="1"/>
        <rFont val="Batang"/>
        <family val="2"/>
        <charset val="129"/>
      </rPr>
      <t>월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결산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기준 자산총계</t>
    </r>
    <r>
      <rPr>
        <sz val="9"/>
        <color theme="1"/>
        <rFont val="Helvetica"/>
        <family val="2"/>
      </rPr>
      <t xml:space="preserve"> 1,439</t>
    </r>
    <r>
      <rPr>
        <sz val="9"/>
        <color theme="1"/>
        <rFont val="Batang"/>
        <family val="2"/>
        <charset val="129"/>
      </rPr>
      <t>억원</t>
    </r>
    <r>
      <rPr>
        <sz val="9"/>
        <color theme="1"/>
        <rFont val="Helvetica"/>
        <family val="2"/>
      </rPr>
      <t xml:space="preserve">, </t>
    </r>
    <r>
      <rPr>
        <sz val="9"/>
        <color theme="1"/>
        <rFont val="Batang"/>
        <family val="2"/>
        <charset val="129"/>
      </rPr>
      <t>자본총계</t>
    </r>
    <r>
      <rPr>
        <sz val="9"/>
        <color theme="1"/>
        <rFont val="Helvetica"/>
        <family val="2"/>
      </rPr>
      <t xml:space="preserve"> 232</t>
    </r>
    <r>
      <rPr>
        <sz val="9"/>
        <color theme="1"/>
        <rFont val="Batang"/>
        <family val="2"/>
        <charset val="129"/>
      </rPr>
      <t>억원</t>
    </r>
    <r>
      <rPr>
        <sz val="9"/>
        <color theme="1"/>
        <rFont val="Helvetica"/>
        <family val="2"/>
      </rPr>
      <t xml:space="preserve">, </t>
    </r>
    <r>
      <rPr>
        <sz val="9"/>
        <color theme="1"/>
        <rFont val="Batang"/>
        <family val="2"/>
        <charset val="129"/>
      </rPr>
      <t>총자산한도</t>
    </r>
    <r>
      <rPr>
        <sz val="9"/>
        <color theme="1"/>
        <rFont val="Helvetica"/>
        <family val="2"/>
      </rPr>
      <t xml:space="preserve"> 6.20</t>
    </r>
    <r>
      <rPr>
        <sz val="9"/>
        <color theme="1"/>
        <rFont val="Batang"/>
        <family val="2"/>
        <charset val="129"/>
      </rPr>
      <t>배로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대부업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규정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준수중이며</t>
    </r>
    <r>
      <rPr>
        <sz val="9"/>
        <color theme="1"/>
        <rFont val="Helvetica"/>
        <family val="2"/>
      </rPr>
      <t xml:space="preserve">, </t>
    </r>
    <r>
      <rPr>
        <sz val="9"/>
        <color theme="1"/>
        <rFont val="Batang"/>
        <family val="2"/>
        <charset val="129"/>
      </rPr>
      <t>매출액</t>
    </r>
    <r>
      <rPr>
        <sz val="9"/>
        <color theme="1"/>
        <rFont val="Helvetica"/>
        <family val="2"/>
      </rPr>
      <t xml:space="preserve"> 247</t>
    </r>
    <r>
      <rPr>
        <sz val="9"/>
        <color theme="1"/>
        <rFont val="Batang"/>
        <family val="2"/>
        <charset val="129"/>
      </rPr>
      <t>억원</t>
    </r>
    <r>
      <rPr>
        <sz val="9"/>
        <color theme="1"/>
        <rFont val="Helvetica"/>
        <family val="2"/>
      </rPr>
      <t xml:space="preserve">, </t>
    </r>
    <r>
      <rPr>
        <sz val="9"/>
        <color theme="1"/>
        <rFont val="Batang"/>
        <family val="2"/>
        <charset val="129"/>
      </rPr>
      <t>당기순이익</t>
    </r>
    <r>
      <rPr>
        <sz val="9"/>
        <color theme="1"/>
        <rFont val="Helvetica"/>
        <family val="2"/>
      </rPr>
      <t xml:space="preserve"> 1.4</t>
    </r>
    <r>
      <rPr>
        <sz val="9"/>
        <color theme="1"/>
        <rFont val="Batang"/>
        <family val="2"/>
        <charset val="129"/>
      </rPr>
      <t>억원을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시현하였음</t>
    </r>
    <r>
      <rPr>
        <sz val="9"/>
        <color theme="1"/>
        <rFont val="Helvetica"/>
        <family val="2"/>
      </rPr>
      <t>. 2016</t>
    </r>
    <r>
      <rPr>
        <sz val="9"/>
        <color theme="1"/>
        <rFont val="Batang"/>
        <family val="2"/>
        <charset val="129"/>
      </rPr>
      <t>년</t>
    </r>
    <r>
      <rPr>
        <sz val="9"/>
        <color theme="1"/>
        <rFont val="Helvetica"/>
        <family val="2"/>
      </rPr>
      <t xml:space="preserve"> 8</t>
    </r>
    <r>
      <rPr>
        <sz val="9"/>
        <color theme="1"/>
        <rFont val="Batang"/>
        <family val="2"/>
        <charset val="129"/>
      </rPr>
      <t>월부터</t>
    </r>
    <r>
      <rPr>
        <sz val="9"/>
        <color theme="1"/>
        <rFont val="Helvetica"/>
        <family val="2"/>
      </rPr>
      <t xml:space="preserve"> 2024</t>
    </r>
    <r>
      <rPr>
        <sz val="9"/>
        <color theme="1"/>
        <rFont val="Batang"/>
        <family val="2"/>
        <charset val="129"/>
      </rPr>
      <t>년</t>
    </r>
    <r>
      <rPr>
        <sz val="9"/>
        <color theme="1"/>
        <rFont val="Helvetica"/>
        <family val="2"/>
      </rPr>
      <t xml:space="preserve"> 6</t>
    </r>
    <r>
      <rPr>
        <sz val="9"/>
        <color theme="1"/>
        <rFont val="Batang"/>
        <family val="2"/>
        <charset val="129"/>
      </rPr>
      <t>월까지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당행과</t>
    </r>
    <r>
      <rPr>
        <sz val="9"/>
        <color theme="1"/>
        <rFont val="Helvetica"/>
        <family val="2"/>
      </rPr>
      <t xml:space="preserve"> 14</t>
    </r>
    <r>
      <rPr>
        <sz val="9"/>
        <color theme="1"/>
        <rFont val="Batang"/>
        <family val="2"/>
        <charset val="129"/>
      </rPr>
      <t>회</t>
    </r>
    <r>
      <rPr>
        <sz val="9"/>
        <color theme="1"/>
        <rFont val="Helvetica"/>
        <family val="2"/>
      </rPr>
      <t xml:space="preserve">, </t>
    </r>
    <r>
      <rPr>
        <sz val="9"/>
        <color theme="1"/>
        <rFont val="Batang"/>
        <family val="2"/>
        <charset val="129"/>
      </rPr>
      <t>누적취급액</t>
    </r>
    <r>
      <rPr>
        <sz val="9"/>
        <color theme="1"/>
        <rFont val="Helvetica"/>
        <family val="2"/>
      </rPr>
      <t xml:space="preserve"> 220</t>
    </r>
    <r>
      <rPr>
        <sz val="9"/>
        <color theme="1"/>
        <rFont val="Batang"/>
        <family val="2"/>
        <charset val="129"/>
      </rPr>
      <t>억원을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정상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거래했던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기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거래업체로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금번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신용대출채권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담보로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대부업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대출</t>
    </r>
    <r>
      <rPr>
        <sz val="9"/>
        <color theme="1"/>
        <rFont val="Helvetica"/>
        <family val="2"/>
      </rPr>
      <t xml:space="preserve"> 10</t>
    </r>
    <r>
      <rPr>
        <sz val="9"/>
        <color theme="1"/>
        <rFont val="Batang"/>
        <family val="2"/>
        <charset val="129"/>
      </rPr>
      <t>억원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Batang"/>
        <family val="2"/>
        <charset val="129"/>
      </rPr>
      <t>신청함</t>
    </r>
    <r>
      <rPr>
        <sz val="9"/>
        <color theme="1"/>
        <rFont val="Helvetica"/>
        <family val="2"/>
      </rPr>
      <t>.</t>
    </r>
    <phoneticPr fontId="1" type="noConversion"/>
  </si>
  <si>
    <r>
      <rPr>
        <sz val="9"/>
        <color theme="1"/>
        <rFont val="맑은 고딕"/>
        <family val="2"/>
      </rPr>
      <t>기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맑은 고딕"/>
        <family val="2"/>
      </rPr>
      <t>타</t>
    </r>
    <phoneticPr fontId="1" type="noConversion"/>
  </si>
  <si>
    <t>매월 채권내역(연체채권 내역 등)에 대한 확인서 제출 또는 담보실사(담당자 방문) 진행
양수채권의 연체, 상환 등으로 인해 담보비율 130% 미달 시 익월 중 채권교체 실시 (본부장 전결)
양도담보채권 샘플링하여 최초 실행내역 및 원리금 불입내역(최근 3개월) 확인
중도상환수수료: 취급 후 15개월 내 스케쥴 외 상환 시 1%</t>
    <phoneticPr fontId="1" type="noConversion"/>
  </si>
  <si>
    <t>대출개요</t>
    <phoneticPr fontId="1" type="noConversion"/>
  </si>
  <si>
    <t>신청사 변동현황</t>
  </si>
  <si>
    <t>구 분</t>
  </si>
  <si>
    <t>비 고</t>
  </si>
  <si>
    <t>*29.70%</t>
  </si>
  <si>
    <t>*29.53%</t>
  </si>
  <si>
    <t>매달 상각 및 연 2회 매각</t>
  </si>
  <si>
    <t>45,625백만원</t>
  </si>
  <si>
    <t>43,809백만원</t>
  </si>
  <si>
    <t>담보제공가능채권 약 66억원</t>
  </si>
  <si>
    <t>김봉철 외 2인</t>
  </si>
  <si>
    <t>좌동</t>
  </si>
  <si>
    <t>관계사 ㈜골든캐피탈대부 기여신 24.06월말 기준 잔액 2,859백만원</t>
  </si>
  <si>
    <t>기대출 건 (2024.04. 가결산 기준)</t>
    <phoneticPr fontId="1" type="noConversion"/>
  </si>
  <si>
    <t>본 건 (2024.05. 가결산 기준)</t>
    <phoneticPr fontId="1" type="noConversion"/>
  </si>
  <si>
    <t>구분</t>
  </si>
  <si>
    <r>
      <rPr>
        <sz val="9"/>
        <color theme="1"/>
        <rFont val="맑은 고딕"/>
        <family val="2"/>
      </rPr>
      <t>자본금</t>
    </r>
    <phoneticPr fontId="1" type="noConversion"/>
  </si>
  <si>
    <r>
      <rPr>
        <sz val="9"/>
        <color theme="1"/>
        <rFont val="맑은 고딕"/>
        <family val="2"/>
      </rPr>
      <t>총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맑은 고딕"/>
        <family val="2"/>
      </rPr>
      <t>연체율</t>
    </r>
    <phoneticPr fontId="1" type="noConversion"/>
  </si>
  <si>
    <r>
      <rPr>
        <sz val="9"/>
        <color theme="1"/>
        <rFont val="맑은 고딕"/>
        <family val="2"/>
      </rPr>
      <t>대출채권</t>
    </r>
    <phoneticPr fontId="1" type="noConversion"/>
  </si>
  <si>
    <r>
      <rPr>
        <sz val="9"/>
        <color theme="1"/>
        <rFont val="맑은 고딕"/>
        <family val="2"/>
      </rPr>
      <t>주주현황</t>
    </r>
    <phoneticPr fontId="1" type="noConversion"/>
  </si>
  <si>
    <r>
      <rPr>
        <sz val="9"/>
        <color theme="1"/>
        <rFont val="맑은 고딕"/>
        <family val="2"/>
      </rPr>
      <t>대부업체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맑은 고딕"/>
        <family val="2"/>
      </rPr>
      <t>정보</t>
    </r>
    <phoneticPr fontId="1" type="noConversion"/>
  </si>
  <si>
    <r>
      <rPr>
        <sz val="9"/>
        <color theme="1"/>
        <rFont val="맑은 고딕"/>
        <family val="2"/>
      </rPr>
      <t>동일차주</t>
    </r>
    <r>
      <rPr>
        <sz val="9"/>
        <color theme="1"/>
        <rFont val="Helvetica"/>
        <family val="2"/>
      </rPr>
      <t xml:space="preserve"> </t>
    </r>
    <r>
      <rPr>
        <sz val="9"/>
        <color theme="1"/>
        <rFont val="맑은 고딕"/>
        <family val="2"/>
      </rPr>
      <t>기여신</t>
    </r>
    <phoneticPr fontId="1" type="noConversion"/>
  </si>
  <si>
    <t>관계사 ㈜골든캐피탈대부 기여신 24.05월말 기준 잔액 3,000백만원</t>
    <phoneticPr fontId="1" type="noConversion"/>
  </si>
  <si>
    <t>2.	채권보전 계획
1)	물적담보
-	당행 대출금액의 130% 해당하는 신청사 대출채권 양도 담보
-	담보 제공된 대출채권이 연체 또는 상환 발생시, 매월 정상채권 교환 및 보완으로 담보비율 130% 이상 유지
-	매월 채권내역(연체채권 내역 등)에 대한 확인서 또는 전산 제공
→ 대부업체 전산에 당행 담당자 아이피 등록 후 양도담보비율, 거래내역 등 상시 확인 가능
2)	인적담보(연대보증인)
-	최대주주 김봉철 : 한정근보증(대출금의 130%)
-	관계사 ㈜골든캐피탈대부 연대보증 입보 (대출금의 130%)</t>
    <phoneticPr fontId="1" type="noConversion"/>
  </si>
  <si>
    <t>경 력 사 항</t>
  </si>
  <si>
    <r>
      <t xml:space="preserve">- </t>
    </r>
    <r>
      <rPr>
        <sz val="9"/>
        <color theme="1"/>
        <rFont val="SimSun"/>
        <charset val="134"/>
      </rPr>
      <t xml:space="preserve">前 </t>
    </r>
    <r>
      <rPr>
        <sz val="9"/>
        <color theme="1"/>
        <rFont val="맑은 고딕"/>
        <family val="2"/>
        <charset val="129"/>
      </rPr>
      <t>웰컴크레디트라인대부(주) 구로, 부평지점장</t>
    </r>
  </si>
  <si>
    <t>김 봉 철</t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</si>
  <si>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SimSun"/>
        <charset val="134"/>
      </rPr>
      <t xml:space="preserve">前 </t>
    </r>
    <r>
      <rPr>
        <sz val="9"/>
        <color theme="1"/>
        <rFont val="맑은 고딕"/>
        <family val="2"/>
        <charset val="129"/>
      </rPr>
      <t>㈜굿모닝캐피탈대부 이사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</si>
  <si>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SimSun"/>
        <charset val="134"/>
      </rPr>
      <t xml:space="preserve">現 </t>
    </r>
    <r>
      <rPr>
        <sz val="9"/>
        <color theme="1"/>
        <rFont val="맑은 고딕"/>
        <family val="2"/>
        <charset val="129"/>
      </rPr>
      <t>㈜오케이파이낸셜대부 이사</t>
    </r>
  </si>
  <si>
    <t>(761229-1)</t>
  </si>
  <si>
    <r>
      <t xml:space="preserve">- </t>
    </r>
    <r>
      <rPr>
        <sz val="9"/>
        <color theme="1"/>
        <rFont val="SimSun"/>
        <charset val="134"/>
      </rPr>
      <t xml:space="preserve">現 </t>
    </r>
    <r>
      <rPr>
        <sz val="9"/>
        <color theme="1"/>
        <rFont val="맑은 고딕"/>
        <family val="2"/>
        <charset val="129"/>
      </rPr>
      <t>㈜골든캐피탈대부 이사</t>
    </r>
  </si>
  <si>
    <t>- NICE 917점</t>
  </si>
  <si>
    <t>※ 최대주주 김봉철 경력사항</t>
    <phoneticPr fontId="1" type="noConversion"/>
  </si>
  <si>
    <t>※ 신청사 및 보증사 당행 차입현황</t>
  </si>
  <si>
    <t>(2024.07.15.기준, 단위 : 원)</t>
  </si>
  <si>
    <t>차수</t>
  </si>
  <si>
    <t>대출일</t>
  </si>
  <si>
    <t>약정 담보비율</t>
  </si>
  <si>
    <t>현 담보비율</t>
  </si>
  <si>
    <t>현 담보금액</t>
  </si>
  <si>
    <t>㈜오케이 파이낸셜 대부 (신청사)</t>
  </si>
  <si>
    <t>1차</t>
  </si>
  <si>
    <t>완 제</t>
  </si>
  <si>
    <t>2차</t>
  </si>
  <si>
    <t>3차</t>
  </si>
  <si>
    <t>4차</t>
  </si>
  <si>
    <t>5차</t>
  </si>
  <si>
    <t>6차</t>
  </si>
  <si>
    <t>7차</t>
  </si>
  <si>
    <t>8차</t>
  </si>
  <si>
    <t>9차</t>
  </si>
  <si>
    <t>10차</t>
  </si>
  <si>
    <t>11차</t>
  </si>
  <si>
    <t>12차</t>
  </si>
  <si>
    <t>13차</t>
  </si>
  <si>
    <t>14차</t>
  </si>
  <si>
    <t>소 계</t>
  </si>
  <si>
    <t>㈜골든 캐피탈대부 (보증사)</t>
  </si>
  <si>
    <t>15차</t>
  </si>
  <si>
    <t>16차</t>
  </si>
  <si>
    <t>17차</t>
  </si>
  <si>
    <t>18차</t>
  </si>
  <si>
    <t>19차</t>
  </si>
  <si>
    <t>20차</t>
  </si>
  <si>
    <t>21차</t>
  </si>
  <si>
    <t>22차</t>
  </si>
  <si>
    <t>23차</t>
  </si>
  <si>
    <t>24차</t>
  </si>
  <si>
    <t>25차</t>
  </si>
  <si>
    <t>26차</t>
  </si>
  <si>
    <t>27차</t>
  </si>
  <si>
    <t>28차</t>
  </si>
  <si>
    <t>29차</t>
  </si>
  <si>
    <t>30차</t>
  </si>
  <si>
    <t>합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</si>
</sst>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2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9"/>
      <color theme="1"/>
      <name val="Helvetica"/>
      <family val="2"/>
    </font>
    <font>
      <sz val="10"/>
      <color theme="1"/>
      <name val="Helvetica"/>
      <family val="2"/>
    </font>
    <font>
      <b/>
      <sz val="11"/>
      <color theme="1"/>
      <name val="맑은 고딕"/>
      <family val="2"/>
      <charset val="129"/>
      <scheme val="minor"/>
    </font>
    <font>
      <b/>
      <sz val="13.5"/>
      <color theme="1"/>
      <name val="맑은 고딕"/>
      <family val="2"/>
      <charset val="129"/>
      <scheme val="minor"/>
    </font>
    <font>
      <sz val="9"/>
      <color theme="1"/>
      <name val="맑은 고딕"/>
      <family val="2"/>
    </font>
    <font>
      <sz val="9"/>
      <color theme="1"/>
      <name val="Batang"/>
      <family val="2"/>
      <charset val="129"/>
    </font>
    <font>
      <sz val="9"/>
      <color theme="1"/>
      <name val="Helvetica"/>
      <family val="2"/>
      <charset val="129"/>
    </font>
    <font>
      <b/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u/>
      <sz val="9"/>
      <color theme="1"/>
      <name val="맑은 고딕"/>
      <family val="2"/>
      <charset val="129"/>
    </font>
    <font>
      <b/>
      <sz val="9"/>
      <color theme="1"/>
      <name val="맑은 고딕"/>
      <family val="2"/>
      <charset val="129"/>
      <scheme val="minor"/>
    </font>
    <font>
      <sz val="7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SimSun"/>
      <charset val="134"/>
    </font>
    <font>
      <sz val="8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/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ck">
        <color rgb="FF315E97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315E97"/>
      </left>
      <right/>
      <top/>
      <bottom/>
      <diagonal/>
    </border>
  </borders>
  <cellStyleXfs count="3">
    <xf numFmtId="0" fontId="0" fillId="0" borderId="0"/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48">
    <xf numFmtId="0" fontId="0" fillId="0" borderId="0" xfId="0"/>
    <xf numFmtId="0" fontId="0" fillId="0" borderId="0" xfId="0" applyAlignment="1">
      <alignment shrinkToFit="1"/>
    </xf>
    <xf numFmtId="0" fontId="0" fillId="2" borderId="0" xfId="0" applyFill="1"/>
    <xf numFmtId="0" fontId="0" fillId="0" borderId="0" xfId="0" quotePrefix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shrinkToFi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shrinkToFit="1"/>
    </xf>
    <xf numFmtId="3" fontId="0" fillId="0" borderId="0" xfId="0" applyNumberFormat="1"/>
    <xf numFmtId="0" fontId="0" fillId="3" borderId="0" xfId="0" applyFill="1"/>
    <xf numFmtId="3" fontId="0" fillId="3" borderId="0" xfId="0" applyNumberFormat="1" applyFill="1"/>
    <xf numFmtId="9" fontId="0" fillId="0" borderId="0" xfId="2" applyFont="1" applyAlignment="1"/>
    <xf numFmtId="14" fontId="0" fillId="0" borderId="0" xfId="0" applyNumberFormat="1"/>
    <xf numFmtId="176" fontId="0" fillId="0" borderId="0" xfId="1" applyFont="1" applyAlignment="1"/>
    <xf numFmtId="10" fontId="0" fillId="0" borderId="0" xfId="0" applyNumberFormat="1"/>
    <xf numFmtId="0" fontId="3" fillId="0" borderId="2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31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0" fillId="0" borderId="0" xfId="0" applyFont="1"/>
    <xf numFmtId="0" fontId="5" fillId="0" borderId="0" xfId="0" applyFont="1" applyFill="1" applyBorder="1"/>
    <xf numFmtId="0" fontId="12" fillId="0" borderId="3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 indent="1"/>
    </xf>
    <xf numFmtId="0" fontId="13" fillId="0" borderId="8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14" fontId="13" fillId="0" borderId="6" xfId="0" applyNumberFormat="1" applyFont="1" applyBorder="1" applyAlignment="1">
      <alignment horizontal="center" vertical="center" wrapText="1"/>
    </xf>
    <xf numFmtId="3" fontId="13" fillId="0" borderId="6" xfId="0" applyNumberFormat="1" applyFont="1" applyBorder="1" applyAlignment="1">
      <alignment horizontal="center" vertical="center" wrapText="1"/>
    </xf>
    <xf numFmtId="9" fontId="13" fillId="0" borderId="6" xfId="0" applyNumberFormat="1" applyFont="1" applyBorder="1" applyAlignment="1">
      <alignment horizontal="center" vertical="center" wrapText="1"/>
    </xf>
    <xf numFmtId="10" fontId="13" fillId="0" borderId="6" xfId="0" applyNumberFormat="1" applyFont="1" applyBorder="1" applyAlignment="1">
      <alignment horizontal="center" vertical="center" wrapText="1"/>
    </xf>
    <xf numFmtId="3" fontId="12" fillId="0" borderId="11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14" fontId="13" fillId="0" borderId="11" xfId="0" applyNumberFormat="1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 wrapText="1"/>
    </xf>
    <xf numFmtId="9" fontId="13" fillId="0" borderId="0" xfId="0" applyNumberFormat="1" applyFont="1" applyAlignment="1">
      <alignment horizontal="left" vertical="center" wrapText="1" indent="1"/>
    </xf>
    <xf numFmtId="10" fontId="13" fillId="0" borderId="0" xfId="0" applyNumberFormat="1" applyFont="1" applyAlignment="1">
      <alignment horizontal="left" vertical="center" wrapText="1" indent="1"/>
    </xf>
    <xf numFmtId="0" fontId="12" fillId="0" borderId="28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 indent="1"/>
    </xf>
    <xf numFmtId="0" fontId="12" fillId="0" borderId="27" xfId="0" applyFont="1" applyBorder="1" applyAlignment="1">
      <alignment horizontal="left" vertical="center" wrapText="1" indent="1"/>
    </xf>
    <xf numFmtId="0" fontId="12" fillId="0" borderId="4" xfId="0" applyFont="1" applyBorder="1" applyAlignment="1">
      <alignment horizontal="left" vertical="center" wrapText="1" indent="1"/>
    </xf>
    <xf numFmtId="0" fontId="12" fillId="0" borderId="7" xfId="0" applyFont="1" applyBorder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4" fillId="0" borderId="31" xfId="0" applyFont="1" applyBorder="1" applyAlignment="1">
      <alignment vertical="center" wrapText="1"/>
    </xf>
    <xf numFmtId="14" fontId="13" fillId="0" borderId="20" xfId="0" applyNumberFormat="1" applyFont="1" applyBorder="1" applyAlignment="1">
      <alignment horizontal="center" vertical="center" wrapText="1"/>
    </xf>
    <xf numFmtId="14" fontId="13" fillId="0" borderId="21" xfId="0" applyNumberFormat="1" applyFont="1" applyBorder="1" applyAlignment="1">
      <alignment horizontal="center" vertical="center" wrapText="1"/>
    </xf>
    <xf numFmtId="14" fontId="13" fillId="0" borderId="32" xfId="0" applyNumberFormat="1" applyFont="1" applyBorder="1" applyAlignment="1">
      <alignment horizontal="center" vertical="center" wrapText="1"/>
    </xf>
    <xf numFmtId="10" fontId="13" fillId="0" borderId="20" xfId="0" applyNumberFormat="1" applyFont="1" applyBorder="1" applyAlignment="1">
      <alignment horizontal="left" vertical="center" wrapText="1"/>
    </xf>
    <xf numFmtId="10" fontId="13" fillId="0" borderId="21" xfId="0" applyNumberFormat="1" applyFont="1" applyBorder="1" applyAlignment="1">
      <alignment horizontal="left" vertical="center" wrapText="1"/>
    </xf>
    <xf numFmtId="10" fontId="13" fillId="0" borderId="32" xfId="0" applyNumberFormat="1" applyFont="1" applyBorder="1" applyAlignment="1">
      <alignment horizontal="left" vertical="center" wrapText="1"/>
    </xf>
    <xf numFmtId="3" fontId="13" fillId="0" borderId="20" xfId="0" applyNumberFormat="1" applyFont="1" applyBorder="1" applyAlignment="1">
      <alignment horizontal="right" vertical="center" wrapText="1"/>
    </xf>
    <xf numFmtId="3" fontId="13" fillId="0" borderId="21" xfId="0" applyNumberFormat="1" applyFont="1" applyBorder="1" applyAlignment="1">
      <alignment horizontal="right" vertical="center" wrapText="1"/>
    </xf>
    <xf numFmtId="3" fontId="13" fillId="0" borderId="32" xfId="0" applyNumberFormat="1" applyFont="1" applyBorder="1" applyAlignment="1">
      <alignment horizontal="right" vertical="center" wrapText="1"/>
    </xf>
    <xf numFmtId="0" fontId="4" fillId="0" borderId="33" xfId="0" applyFont="1" applyBorder="1" applyAlignment="1">
      <alignment vertical="center" wrapText="1"/>
    </xf>
    <xf numFmtId="3" fontId="13" fillId="0" borderId="20" xfId="0" applyNumberFormat="1" applyFont="1" applyBorder="1" applyAlignment="1">
      <alignment horizontal="center" vertical="center" wrapText="1"/>
    </xf>
    <xf numFmtId="3" fontId="13" fillId="0" borderId="22" xfId="0" applyNumberFormat="1" applyFont="1" applyBorder="1" applyAlignment="1">
      <alignment horizontal="center" vertical="center" wrapText="1"/>
    </xf>
    <xf numFmtId="3" fontId="12" fillId="0" borderId="24" xfId="0" applyNumberFormat="1" applyFont="1" applyBorder="1" applyAlignment="1">
      <alignment horizontal="right" vertical="center" wrapText="1"/>
    </xf>
    <xf numFmtId="3" fontId="12" fillId="0" borderId="25" xfId="0" applyNumberFormat="1" applyFont="1" applyBorder="1" applyAlignment="1">
      <alignment horizontal="right" vertical="center" wrapText="1"/>
    </xf>
    <xf numFmtId="3" fontId="12" fillId="0" borderId="26" xfId="0" applyNumberFormat="1" applyFont="1" applyBorder="1" applyAlignment="1">
      <alignment horizontal="right" vertical="center" wrapText="1"/>
    </xf>
    <xf numFmtId="3" fontId="12" fillId="0" borderId="24" xfId="0" applyNumberFormat="1" applyFont="1" applyBorder="1" applyAlignment="1">
      <alignment horizontal="center" vertical="center" wrapText="1"/>
    </xf>
    <xf numFmtId="3" fontId="12" fillId="0" borderId="29" xfId="0" applyNumberFormat="1" applyFont="1" applyBorder="1" applyAlignment="1">
      <alignment horizontal="center" vertical="center" wrapText="1"/>
    </xf>
    <xf numFmtId="14" fontId="13" fillId="0" borderId="27" xfId="0" applyNumberFormat="1" applyFont="1" applyBorder="1" applyAlignment="1">
      <alignment horizontal="center" vertical="center" wrapText="1"/>
    </xf>
    <xf numFmtId="14" fontId="13" fillId="0" borderId="28" xfId="0" applyNumberFormat="1" applyFont="1" applyBorder="1" applyAlignment="1">
      <alignment horizontal="center" vertical="center" wrapText="1"/>
    </xf>
    <xf numFmtId="14" fontId="13" fillId="0" borderId="4" xfId="0" applyNumberFormat="1" applyFont="1" applyBorder="1" applyAlignment="1">
      <alignment horizontal="center" vertical="center" wrapText="1"/>
    </xf>
    <xf numFmtId="10" fontId="13" fillId="0" borderId="27" xfId="0" applyNumberFormat="1" applyFont="1" applyBorder="1" applyAlignment="1">
      <alignment horizontal="right" vertical="center" wrapText="1"/>
    </xf>
    <xf numFmtId="10" fontId="13" fillId="0" borderId="28" xfId="0" applyNumberFormat="1" applyFont="1" applyBorder="1" applyAlignment="1">
      <alignment horizontal="right" vertical="center" wrapText="1"/>
    </xf>
    <xf numFmtId="10" fontId="13" fillId="0" borderId="4" xfId="0" applyNumberFormat="1" applyFont="1" applyBorder="1" applyAlignment="1">
      <alignment horizontal="right" vertical="center" wrapText="1"/>
    </xf>
    <xf numFmtId="3" fontId="13" fillId="0" borderId="27" xfId="0" applyNumberFormat="1" applyFont="1" applyBorder="1" applyAlignment="1">
      <alignment horizontal="right" vertical="center" wrapText="1"/>
    </xf>
    <xf numFmtId="3" fontId="13" fillId="0" borderId="28" xfId="0" applyNumberFormat="1" applyFont="1" applyBorder="1" applyAlignment="1">
      <alignment horizontal="right" vertical="center" wrapText="1"/>
    </xf>
    <xf numFmtId="3" fontId="13" fillId="0" borderId="4" xfId="0" applyNumberFormat="1" applyFont="1" applyBorder="1" applyAlignment="1">
      <alignment horizontal="right" vertical="center" wrapText="1"/>
    </xf>
    <xf numFmtId="10" fontId="13" fillId="0" borderId="20" xfId="0" applyNumberFormat="1" applyFont="1" applyBorder="1" applyAlignment="1">
      <alignment horizontal="right" vertical="center" wrapText="1"/>
    </xf>
    <xf numFmtId="10" fontId="13" fillId="0" borderId="21" xfId="0" applyNumberFormat="1" applyFont="1" applyBorder="1" applyAlignment="1">
      <alignment horizontal="right" vertical="center" wrapText="1"/>
    </xf>
    <xf numFmtId="10" fontId="13" fillId="0" borderId="32" xfId="0" applyNumberFormat="1" applyFont="1" applyBorder="1" applyAlignment="1">
      <alignment horizontal="right" vertical="center" wrapText="1"/>
    </xf>
    <xf numFmtId="14" fontId="13" fillId="0" borderId="24" xfId="0" applyNumberFormat="1" applyFont="1" applyBorder="1" applyAlignment="1">
      <alignment horizontal="center" vertical="center" wrapText="1"/>
    </xf>
    <xf numFmtId="14" fontId="13" fillId="0" borderId="25" xfId="0" applyNumberFormat="1" applyFont="1" applyBorder="1" applyAlignment="1">
      <alignment horizontal="center" vertical="center" wrapText="1"/>
    </xf>
    <xf numFmtId="14" fontId="13" fillId="0" borderId="26" xfId="0" applyNumberFormat="1" applyFont="1" applyBorder="1" applyAlignment="1">
      <alignment horizontal="center" vertical="center" wrapText="1"/>
    </xf>
    <xf numFmtId="10" fontId="13" fillId="0" borderId="24" xfId="0" applyNumberFormat="1" applyFont="1" applyBorder="1" applyAlignment="1">
      <alignment horizontal="right" vertical="center" wrapText="1"/>
    </xf>
    <xf numFmtId="10" fontId="13" fillId="0" borderId="25" xfId="0" applyNumberFormat="1" applyFont="1" applyBorder="1" applyAlignment="1">
      <alignment horizontal="right" vertical="center" wrapText="1"/>
    </xf>
    <xf numFmtId="10" fontId="13" fillId="0" borderId="26" xfId="0" applyNumberFormat="1" applyFont="1" applyBorder="1" applyAlignment="1">
      <alignment horizontal="right" vertical="center" wrapText="1"/>
    </xf>
    <xf numFmtId="3" fontId="13" fillId="0" borderId="24" xfId="0" applyNumberFormat="1" applyFont="1" applyBorder="1" applyAlignment="1">
      <alignment horizontal="right" vertical="center" wrapText="1"/>
    </xf>
    <xf numFmtId="3" fontId="13" fillId="0" borderId="25" xfId="0" applyNumberFormat="1" applyFont="1" applyBorder="1" applyAlignment="1">
      <alignment horizontal="right" vertical="center" wrapText="1"/>
    </xf>
    <xf numFmtId="3" fontId="13" fillId="0" borderId="26" xfId="0" applyNumberFormat="1" applyFont="1" applyBorder="1" applyAlignment="1">
      <alignment horizontal="right" vertical="center" wrapText="1"/>
    </xf>
    <xf numFmtId="0" fontId="20" fillId="0" borderId="0" xfId="0" applyFont="1" applyAlignment="1">
      <alignment vertical="top" wrapText="1"/>
    </xf>
    <xf numFmtId="0" fontId="20" fillId="0" borderId="30" xfId="0" applyFont="1" applyBorder="1" applyAlignment="1">
      <alignment vertical="top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30" xfId="0" applyNumberFormat="1" applyFont="1" applyBorder="1" applyAlignment="1">
      <alignment horizontal="center" vertical="center" wrapText="1"/>
    </xf>
    <xf numFmtId="10" fontId="13" fillId="0" borderId="0" xfId="0" applyNumberFormat="1" applyFont="1" applyAlignment="1">
      <alignment horizontal="right" vertical="center" wrapText="1"/>
    </xf>
    <xf numFmtId="10" fontId="13" fillId="0" borderId="30" xfId="0" applyNumberFormat="1" applyFont="1" applyBorder="1" applyAlignment="1">
      <alignment horizontal="right" vertical="center" wrapText="1"/>
    </xf>
    <xf numFmtId="3" fontId="13" fillId="0" borderId="0" xfId="0" applyNumberFormat="1" applyFont="1" applyAlignment="1">
      <alignment horizontal="right" vertical="center" wrapText="1"/>
    </xf>
    <xf numFmtId="3" fontId="13" fillId="0" borderId="30" xfId="0" applyNumberFormat="1" applyFont="1" applyBorder="1" applyAlignment="1">
      <alignment horizontal="right" vertical="center" wrapText="1"/>
    </xf>
    <xf numFmtId="3" fontId="13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 wrapText="1"/>
    </xf>
    <xf numFmtId="3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"/>
  <sheetViews>
    <sheetView showGridLines="0" zoomScale="70" zoomScaleNormal="70" workbookViewId="0">
      <selection activeCell="G169" sqref="G169"/>
    </sheetView>
  </sheetViews>
  <sheetFormatPr baseColWidth="10" defaultColWidth="8.83203125" defaultRowHeight="17"/>
  <cols>
    <col min="1" max="1" width="3.33203125" customWidth="1"/>
    <col min="2" max="5" width="17.33203125" customWidth="1"/>
    <col min="6" max="6" width="17.33203125" style="4" customWidth="1"/>
    <col min="7" max="8" width="17.33203125" customWidth="1"/>
    <col min="9" max="9" width="3.83203125" customWidth="1"/>
    <col min="10" max="10" width="2.6640625" customWidth="1"/>
    <col min="11" max="13" width="16.1640625" customWidth="1"/>
  </cols>
  <sheetData>
    <row r="1" spans="2:13">
      <c r="E1" t="s">
        <v>518</v>
      </c>
      <c r="F1" s="4" t="s">
        <v>527</v>
      </c>
    </row>
    <row r="2" spans="2:13">
      <c r="E2" t="s">
        <v>520</v>
      </c>
      <c r="F2" s="4" t="s">
        <v>524</v>
      </c>
    </row>
    <row r="3" spans="2:13">
      <c r="E3" t="s">
        <v>522</v>
      </c>
      <c r="F3" s="4" t="s">
        <v>528</v>
      </c>
    </row>
    <row r="4" spans="2:13">
      <c r="C4" s="1"/>
      <c r="D4" s="1"/>
      <c r="E4" s="1"/>
      <c r="F4" s="8"/>
      <c r="G4" s="1"/>
      <c r="H4" s="1"/>
      <c r="J4" s="2"/>
      <c r="K4" s="3" t="s">
        <v>511</v>
      </c>
    </row>
    <row r="5" spans="2:13">
      <c r="B5" t="s">
        <v>0</v>
      </c>
      <c r="C5" s="1"/>
      <c r="D5" s="1"/>
      <c r="E5" s="1"/>
      <c r="F5" s="8"/>
      <c r="G5" s="1"/>
      <c r="H5" s="1"/>
      <c r="J5" s="2"/>
      <c r="K5" t="s">
        <v>512</v>
      </c>
      <c r="L5" t="s">
        <v>513</v>
      </c>
      <c r="M5" t="s">
        <v>514</v>
      </c>
    </row>
    <row r="6" spans="2:13" s="4" customFormat="1">
      <c r="B6" s="5" t="s">
        <v>1</v>
      </c>
      <c r="C6" s="6" t="s">
        <v>2</v>
      </c>
      <c r="D6" s="6" t="s">
        <v>3</v>
      </c>
      <c r="E6" s="6" t="s">
        <v>516</v>
      </c>
      <c r="F6" s="6" t="s">
        <v>526</v>
      </c>
      <c r="G6" s="6" t="s">
        <v>4</v>
      </c>
      <c r="H6" s="6" t="s">
        <v>5</v>
      </c>
      <c r="J6" s="7"/>
      <c r="K6" s="6">
        <v>1</v>
      </c>
      <c r="L6" s="6">
        <f>K6+1</f>
        <v>2</v>
      </c>
      <c r="M6" s="6">
        <f t="shared" ref="M6" si="0">L6+1</f>
        <v>3</v>
      </c>
    </row>
    <row r="7" spans="2:13">
      <c r="B7" t="s">
        <v>6</v>
      </c>
      <c r="C7" s="1" t="s">
        <v>7</v>
      </c>
      <c r="D7" s="1" t="s">
        <v>8</v>
      </c>
      <c r="E7" s="8" t="s">
        <v>517</v>
      </c>
      <c r="F7" s="8" t="s">
        <v>525</v>
      </c>
      <c r="G7" s="1" t="s">
        <v>10</v>
      </c>
      <c r="H7" s="1" t="s">
        <v>11</v>
      </c>
      <c r="J7" s="2"/>
      <c r="K7" s="8" t="s">
        <v>515</v>
      </c>
    </row>
    <row r="8" spans="2:13">
      <c r="B8" t="s">
        <v>12</v>
      </c>
      <c r="C8" s="1" t="s">
        <v>13</v>
      </c>
      <c r="D8" s="1" t="s">
        <v>14</v>
      </c>
      <c r="E8" s="8" t="s">
        <v>519</v>
      </c>
      <c r="F8" s="8" t="s">
        <v>525</v>
      </c>
      <c r="G8" s="1" t="s">
        <v>10</v>
      </c>
      <c r="H8" s="1" t="s">
        <v>15</v>
      </c>
      <c r="J8" s="2"/>
      <c r="K8" s="8" t="s">
        <v>515</v>
      </c>
    </row>
    <row r="9" spans="2:13">
      <c r="B9" t="s">
        <v>16</v>
      </c>
      <c r="C9" s="1" t="s">
        <v>17</v>
      </c>
      <c r="D9" s="1" t="s">
        <v>18</v>
      </c>
      <c r="E9" s="8" t="s">
        <v>517</v>
      </c>
      <c r="F9" s="8" t="s">
        <v>525</v>
      </c>
      <c r="G9" s="1" t="s">
        <v>10</v>
      </c>
      <c r="H9" s="1" t="s">
        <v>15</v>
      </c>
      <c r="J9" s="2"/>
      <c r="K9" s="8" t="s">
        <v>515</v>
      </c>
    </row>
    <row r="10" spans="2:13">
      <c r="B10" t="s">
        <v>19</v>
      </c>
      <c r="C10" s="1" t="s">
        <v>20</v>
      </c>
      <c r="D10" s="1" t="s">
        <v>21</v>
      </c>
      <c r="E10" s="8" t="s">
        <v>521</v>
      </c>
      <c r="F10" s="8" t="s">
        <v>525</v>
      </c>
      <c r="G10" s="1" t="s">
        <v>22</v>
      </c>
      <c r="H10" s="1" t="s">
        <v>23</v>
      </c>
      <c r="J10" s="2"/>
      <c r="K10" s="8" t="s">
        <v>515</v>
      </c>
    </row>
    <row r="11" spans="2:13">
      <c r="B11" t="s">
        <v>24</v>
      </c>
      <c r="C11" s="1" t="s">
        <v>25</v>
      </c>
      <c r="D11" s="1" t="s">
        <v>8</v>
      </c>
      <c r="E11" s="8" t="s">
        <v>521</v>
      </c>
      <c r="F11" s="8" t="s">
        <v>525</v>
      </c>
      <c r="G11" s="1" t="s">
        <v>10</v>
      </c>
      <c r="H11" s="1" t="s">
        <v>26</v>
      </c>
      <c r="J11" s="2"/>
      <c r="K11" s="8" t="s">
        <v>515</v>
      </c>
    </row>
    <row r="12" spans="2:13">
      <c r="B12" t="s">
        <v>27</v>
      </c>
      <c r="C12" s="1" t="s">
        <v>28</v>
      </c>
      <c r="D12" s="1" t="s">
        <v>8</v>
      </c>
      <c r="E12" s="8" t="s">
        <v>517</v>
      </c>
      <c r="F12" s="8" t="s">
        <v>525</v>
      </c>
      <c r="G12" s="1" t="s">
        <v>10</v>
      </c>
      <c r="H12" s="1" t="s">
        <v>29</v>
      </c>
      <c r="J12" s="2"/>
      <c r="K12" s="8" t="s">
        <v>515</v>
      </c>
    </row>
    <row r="13" spans="2:13">
      <c r="B13" t="s">
        <v>30</v>
      </c>
      <c r="C13" s="1" t="s">
        <v>31</v>
      </c>
      <c r="D13" s="1" t="s">
        <v>8</v>
      </c>
      <c r="E13" s="8" t="s">
        <v>517</v>
      </c>
      <c r="F13" s="8" t="s">
        <v>525</v>
      </c>
      <c r="G13" s="1" t="s">
        <v>10</v>
      </c>
      <c r="H13" s="1" t="s">
        <v>15</v>
      </c>
      <c r="J13" s="2"/>
      <c r="K13" s="8" t="s">
        <v>515</v>
      </c>
    </row>
    <row r="14" spans="2:13">
      <c r="B14" t="s">
        <v>32</v>
      </c>
      <c r="C14" s="1" t="s">
        <v>33</v>
      </c>
      <c r="D14" s="1" t="s">
        <v>8</v>
      </c>
      <c r="E14" s="8" t="s">
        <v>517</v>
      </c>
      <c r="F14" s="8" t="s">
        <v>525</v>
      </c>
      <c r="G14" s="1" t="s">
        <v>34</v>
      </c>
      <c r="H14" s="1"/>
      <c r="J14" s="2"/>
      <c r="K14" s="8" t="s">
        <v>515</v>
      </c>
    </row>
    <row r="15" spans="2:13">
      <c r="B15" t="s">
        <v>35</v>
      </c>
      <c r="C15" s="1" t="s">
        <v>36</v>
      </c>
      <c r="D15" s="1" t="s">
        <v>8</v>
      </c>
      <c r="E15" s="8" t="s">
        <v>519</v>
      </c>
      <c r="F15" s="8" t="s">
        <v>525</v>
      </c>
      <c r="G15" s="1" t="s">
        <v>37</v>
      </c>
      <c r="H15" s="1" t="s">
        <v>500</v>
      </c>
      <c r="J15" s="2"/>
      <c r="K15" s="8" t="s">
        <v>515</v>
      </c>
    </row>
    <row r="16" spans="2:13">
      <c r="B16" t="s">
        <v>38</v>
      </c>
      <c r="C16" s="1" t="s">
        <v>39</v>
      </c>
      <c r="D16" s="1" t="s">
        <v>40</v>
      </c>
      <c r="E16" s="8" t="s">
        <v>519</v>
      </c>
      <c r="F16" s="8" t="s">
        <v>525</v>
      </c>
      <c r="G16" s="1" t="s">
        <v>41</v>
      </c>
      <c r="H16" s="1" t="s">
        <v>42</v>
      </c>
      <c r="J16" s="2"/>
      <c r="K16" s="8" t="s">
        <v>515</v>
      </c>
    </row>
    <row r="17" spans="2:11">
      <c r="B17" t="s">
        <v>43</v>
      </c>
      <c r="C17" s="1" t="s">
        <v>44</v>
      </c>
      <c r="D17" s="1" t="s">
        <v>45</v>
      </c>
      <c r="E17" s="8" t="s">
        <v>521</v>
      </c>
      <c r="F17" s="8" t="s">
        <v>525</v>
      </c>
      <c r="G17" s="1" t="s">
        <v>46</v>
      </c>
      <c r="H17" s="1" t="s">
        <v>47</v>
      </c>
      <c r="J17" s="2"/>
      <c r="K17" s="8" t="s">
        <v>523</v>
      </c>
    </row>
    <row r="18" spans="2:11">
      <c r="C18" s="1"/>
      <c r="D18" s="1"/>
      <c r="E18" s="8"/>
      <c r="F18" s="8"/>
      <c r="G18" s="1"/>
      <c r="H18" s="1"/>
      <c r="J18" s="2"/>
      <c r="K18" s="4"/>
    </row>
    <row r="19" spans="2:11">
      <c r="B19" t="s">
        <v>48</v>
      </c>
      <c r="C19" s="1"/>
      <c r="D19" s="1"/>
      <c r="E19" s="8"/>
      <c r="F19" s="8"/>
      <c r="G19" s="1"/>
      <c r="H19" s="1"/>
      <c r="J19" s="2"/>
      <c r="K19" s="4"/>
    </row>
    <row r="20" spans="2:11">
      <c r="B20" t="s">
        <v>49</v>
      </c>
      <c r="C20" s="1" t="s">
        <v>50</v>
      </c>
      <c r="D20" s="1" t="s">
        <v>51</v>
      </c>
      <c r="E20" s="8" t="s">
        <v>9</v>
      </c>
      <c r="F20" s="8" t="s">
        <v>524</v>
      </c>
      <c r="G20" s="1" t="s">
        <v>52</v>
      </c>
      <c r="H20" s="1" t="s">
        <v>501</v>
      </c>
      <c r="J20" s="2"/>
      <c r="K20" s="4"/>
    </row>
    <row r="21" spans="2:11">
      <c r="B21" t="s">
        <v>53</v>
      </c>
      <c r="C21" s="1" t="s">
        <v>54</v>
      </c>
      <c r="D21" s="1" t="s">
        <v>8</v>
      </c>
      <c r="E21" s="8" t="s">
        <v>9</v>
      </c>
      <c r="F21" s="8" t="s">
        <v>524</v>
      </c>
      <c r="G21" s="1" t="s">
        <v>55</v>
      </c>
      <c r="H21" s="1" t="s">
        <v>56</v>
      </c>
      <c r="J21" s="2"/>
      <c r="K21" s="4"/>
    </row>
    <row r="22" spans="2:11">
      <c r="B22" t="s">
        <v>57</v>
      </c>
      <c r="C22" s="1" t="s">
        <v>58</v>
      </c>
      <c r="D22" s="1" t="s">
        <v>59</v>
      </c>
      <c r="E22" s="8" t="s">
        <v>9</v>
      </c>
      <c r="F22" s="8" t="s">
        <v>524</v>
      </c>
      <c r="G22" s="1" t="s">
        <v>60</v>
      </c>
      <c r="H22" s="1" t="s">
        <v>61</v>
      </c>
      <c r="J22" s="2"/>
      <c r="K22" s="4"/>
    </row>
    <row r="23" spans="2:11">
      <c r="B23" t="s">
        <v>62</v>
      </c>
      <c r="C23" s="1" t="s">
        <v>63</v>
      </c>
      <c r="D23" s="1" t="s">
        <v>64</v>
      </c>
      <c r="E23" s="8" t="s">
        <v>9</v>
      </c>
      <c r="F23" s="8" t="s">
        <v>524</v>
      </c>
      <c r="G23" s="1" t="s">
        <v>65</v>
      </c>
      <c r="H23" s="1" t="s">
        <v>66</v>
      </c>
      <c r="J23" s="2"/>
      <c r="K23" s="4"/>
    </row>
    <row r="24" spans="2:11">
      <c r="B24" t="s">
        <v>67</v>
      </c>
      <c r="C24" s="1" t="s">
        <v>68</v>
      </c>
      <c r="D24" s="1" t="s">
        <v>18</v>
      </c>
      <c r="E24" s="8" t="s">
        <v>9</v>
      </c>
      <c r="F24" s="8" t="s">
        <v>524</v>
      </c>
      <c r="G24" s="1" t="s">
        <v>69</v>
      </c>
      <c r="H24" s="1" t="s">
        <v>70</v>
      </c>
      <c r="J24" s="2"/>
      <c r="K24" s="4"/>
    </row>
    <row r="25" spans="2:11">
      <c r="B25" t="s">
        <v>71</v>
      </c>
      <c r="C25" s="1" t="s">
        <v>72</v>
      </c>
      <c r="D25" s="1" t="s">
        <v>73</v>
      </c>
      <c r="E25" s="8" t="s">
        <v>9</v>
      </c>
      <c r="F25" s="8" t="s">
        <v>524</v>
      </c>
      <c r="G25" s="1" t="s">
        <v>74</v>
      </c>
      <c r="H25" s="1" t="s">
        <v>75</v>
      </c>
      <c r="J25" s="2"/>
      <c r="K25" s="4"/>
    </row>
    <row r="26" spans="2:11">
      <c r="B26" t="s">
        <v>76</v>
      </c>
      <c r="C26" s="1" t="s">
        <v>77</v>
      </c>
      <c r="D26" s="1" t="s">
        <v>78</v>
      </c>
      <c r="E26" s="8" t="s">
        <v>79</v>
      </c>
      <c r="F26" s="8" t="s">
        <v>524</v>
      </c>
      <c r="G26" s="1" t="s">
        <v>80</v>
      </c>
      <c r="H26" s="1" t="s">
        <v>81</v>
      </c>
      <c r="J26" s="2"/>
      <c r="K26" s="4"/>
    </row>
    <row r="27" spans="2:11">
      <c r="B27" t="s">
        <v>82</v>
      </c>
      <c r="C27" s="1" t="s">
        <v>83</v>
      </c>
      <c r="D27" s="1" t="s">
        <v>84</v>
      </c>
      <c r="E27" s="8" t="s">
        <v>9</v>
      </c>
      <c r="F27" s="8" t="s">
        <v>524</v>
      </c>
      <c r="G27" s="1" t="s">
        <v>85</v>
      </c>
      <c r="H27" s="1" t="s">
        <v>86</v>
      </c>
      <c r="J27" s="2"/>
      <c r="K27" s="4"/>
    </row>
    <row r="28" spans="2:11">
      <c r="B28" t="s">
        <v>87</v>
      </c>
      <c r="C28" s="1" t="s">
        <v>88</v>
      </c>
      <c r="D28" s="1" t="s">
        <v>89</v>
      </c>
      <c r="E28" s="8" t="s">
        <v>90</v>
      </c>
      <c r="F28" s="8" t="s">
        <v>524</v>
      </c>
      <c r="G28" s="1" t="s">
        <v>91</v>
      </c>
      <c r="H28" s="1" t="s">
        <v>502</v>
      </c>
      <c r="J28" s="2"/>
      <c r="K28" s="4"/>
    </row>
    <row r="29" spans="2:11">
      <c r="B29" t="s">
        <v>92</v>
      </c>
      <c r="C29" s="1" t="s">
        <v>93</v>
      </c>
      <c r="D29" s="1" t="s">
        <v>94</v>
      </c>
      <c r="E29" s="8" t="s">
        <v>95</v>
      </c>
      <c r="F29" s="8" t="s">
        <v>524</v>
      </c>
      <c r="G29" s="1" t="s">
        <v>96</v>
      </c>
      <c r="H29" s="1" t="s">
        <v>97</v>
      </c>
      <c r="J29" s="2"/>
      <c r="K29" s="4"/>
    </row>
    <row r="30" spans="2:11">
      <c r="B30" t="s">
        <v>98</v>
      </c>
      <c r="C30" s="1" t="s">
        <v>99</v>
      </c>
      <c r="D30" s="1" t="s">
        <v>8</v>
      </c>
      <c r="E30" s="8" t="s">
        <v>9</v>
      </c>
      <c r="F30" s="8" t="s">
        <v>524</v>
      </c>
      <c r="G30" s="1" t="s">
        <v>100</v>
      </c>
      <c r="H30" s="1" t="s">
        <v>101</v>
      </c>
      <c r="J30" s="2"/>
      <c r="K30" s="4"/>
    </row>
    <row r="31" spans="2:11">
      <c r="B31" t="s">
        <v>102</v>
      </c>
      <c r="C31" s="1" t="s">
        <v>103</v>
      </c>
      <c r="D31" s="1" t="s">
        <v>104</v>
      </c>
      <c r="E31" s="8" t="s">
        <v>105</v>
      </c>
      <c r="F31" s="8" t="s">
        <v>524</v>
      </c>
      <c r="G31" s="1" t="s">
        <v>106</v>
      </c>
      <c r="H31" s="1" t="s">
        <v>107</v>
      </c>
      <c r="J31" s="2"/>
      <c r="K31" s="4"/>
    </row>
    <row r="32" spans="2:11">
      <c r="B32" t="s">
        <v>108</v>
      </c>
      <c r="C32" s="1" t="s">
        <v>109</v>
      </c>
      <c r="D32" s="1" t="s">
        <v>104</v>
      </c>
      <c r="E32" s="8" t="s">
        <v>105</v>
      </c>
      <c r="F32" s="8" t="s">
        <v>524</v>
      </c>
      <c r="G32" s="1" t="s">
        <v>110</v>
      </c>
      <c r="H32" s="1" t="s">
        <v>111</v>
      </c>
      <c r="J32" s="2"/>
      <c r="K32" s="4"/>
    </row>
    <row r="33" spans="2:11">
      <c r="B33" t="s">
        <v>112</v>
      </c>
      <c r="C33" s="1" t="s">
        <v>113</v>
      </c>
      <c r="D33" s="1" t="s">
        <v>104</v>
      </c>
      <c r="E33" s="8" t="s">
        <v>105</v>
      </c>
      <c r="F33" s="8" t="s">
        <v>524</v>
      </c>
      <c r="G33" s="1" t="s">
        <v>114</v>
      </c>
      <c r="H33" s="1" t="s">
        <v>115</v>
      </c>
      <c r="J33" s="2"/>
      <c r="K33" s="4"/>
    </row>
    <row r="34" spans="2:11">
      <c r="C34" s="1"/>
      <c r="D34" s="1"/>
      <c r="E34" s="8"/>
      <c r="F34" s="8"/>
      <c r="G34" s="1"/>
      <c r="H34" s="1"/>
      <c r="J34" s="2"/>
      <c r="K34" s="4"/>
    </row>
    <row r="35" spans="2:11">
      <c r="B35" t="s">
        <v>116</v>
      </c>
      <c r="C35" s="1"/>
      <c r="D35" s="1"/>
      <c r="E35" s="8"/>
      <c r="F35" s="8"/>
      <c r="G35" s="1"/>
      <c r="H35" s="1"/>
      <c r="J35" s="2"/>
      <c r="K35" s="4"/>
    </row>
    <row r="36" spans="2:11">
      <c r="B36" t="s">
        <v>117</v>
      </c>
      <c r="C36" s="1" t="s">
        <v>118</v>
      </c>
      <c r="D36" s="1" t="s">
        <v>59</v>
      </c>
      <c r="E36" s="8" t="s">
        <v>9</v>
      </c>
      <c r="F36" s="8" t="s">
        <v>524</v>
      </c>
      <c r="G36" s="1" t="s">
        <v>119</v>
      </c>
      <c r="H36" s="1" t="s">
        <v>120</v>
      </c>
      <c r="J36" s="2"/>
      <c r="K36" s="4"/>
    </row>
    <row r="37" spans="2:11">
      <c r="B37" t="s">
        <v>121</v>
      </c>
      <c r="C37" s="1" t="s">
        <v>122</v>
      </c>
      <c r="D37" s="1" t="s">
        <v>123</v>
      </c>
      <c r="E37" s="8" t="s">
        <v>9</v>
      </c>
      <c r="F37" s="8" t="s">
        <v>524</v>
      </c>
      <c r="G37" s="1" t="s">
        <v>124</v>
      </c>
      <c r="H37" s="1" t="s">
        <v>125</v>
      </c>
      <c r="J37" s="2"/>
      <c r="K37" s="4"/>
    </row>
    <row r="38" spans="2:11">
      <c r="B38" t="s">
        <v>126</v>
      </c>
      <c r="C38" s="1" t="s">
        <v>127</v>
      </c>
      <c r="D38" s="1" t="s">
        <v>94</v>
      </c>
      <c r="E38" s="8" t="s">
        <v>9</v>
      </c>
      <c r="F38" s="8" t="s">
        <v>524</v>
      </c>
      <c r="G38" s="1" t="s">
        <v>128</v>
      </c>
      <c r="H38" s="1" t="s">
        <v>129</v>
      </c>
      <c r="J38" s="2"/>
      <c r="K38" s="4"/>
    </row>
    <row r="39" spans="2:11">
      <c r="B39" t="s">
        <v>130</v>
      </c>
      <c r="C39" s="1" t="s">
        <v>131</v>
      </c>
      <c r="D39" s="1" t="s">
        <v>132</v>
      </c>
      <c r="E39" s="8" t="s">
        <v>9</v>
      </c>
      <c r="F39" s="8" t="s">
        <v>524</v>
      </c>
      <c r="G39" s="1" t="s">
        <v>133</v>
      </c>
      <c r="H39" s="1" t="s">
        <v>134</v>
      </c>
      <c r="J39" s="2"/>
      <c r="K39" s="4"/>
    </row>
    <row r="40" spans="2:11">
      <c r="B40" t="s">
        <v>135</v>
      </c>
      <c r="C40" s="1" t="s">
        <v>136</v>
      </c>
      <c r="D40" s="1" t="s">
        <v>8</v>
      </c>
      <c r="E40" s="8" t="s">
        <v>9</v>
      </c>
      <c r="F40" s="8" t="s">
        <v>524</v>
      </c>
      <c r="G40" s="1" t="s">
        <v>137</v>
      </c>
      <c r="H40" s="1" t="s">
        <v>138</v>
      </c>
      <c r="J40" s="2"/>
      <c r="K40" s="4"/>
    </row>
    <row r="41" spans="2:11">
      <c r="B41" t="s">
        <v>139</v>
      </c>
      <c r="C41" s="1" t="s">
        <v>140</v>
      </c>
      <c r="D41" s="1" t="s">
        <v>141</v>
      </c>
      <c r="E41" s="8" t="s">
        <v>9</v>
      </c>
      <c r="F41" s="8" t="s">
        <v>524</v>
      </c>
      <c r="G41" s="1" t="s">
        <v>137</v>
      </c>
      <c r="H41" s="1" t="s">
        <v>15</v>
      </c>
      <c r="J41" s="2"/>
      <c r="K41" s="4"/>
    </row>
    <row r="42" spans="2:11">
      <c r="B42" t="s">
        <v>142</v>
      </c>
      <c r="C42" s="1" t="s">
        <v>143</v>
      </c>
      <c r="D42" s="1" t="s">
        <v>59</v>
      </c>
      <c r="E42" s="8" t="s">
        <v>9</v>
      </c>
      <c r="F42" s="8" t="s">
        <v>524</v>
      </c>
      <c r="G42" s="1" t="s">
        <v>144</v>
      </c>
      <c r="H42" s="1" t="s">
        <v>145</v>
      </c>
      <c r="J42" s="2"/>
      <c r="K42" s="4"/>
    </row>
    <row r="43" spans="2:11">
      <c r="B43" t="s">
        <v>146</v>
      </c>
      <c r="C43" s="1" t="s">
        <v>147</v>
      </c>
      <c r="D43" s="1" t="s">
        <v>8</v>
      </c>
      <c r="E43" s="8" t="s">
        <v>9</v>
      </c>
      <c r="F43" s="8" t="s">
        <v>524</v>
      </c>
      <c r="G43" s="1" t="s">
        <v>148</v>
      </c>
      <c r="H43" s="1" t="s">
        <v>149</v>
      </c>
      <c r="J43" s="2"/>
      <c r="K43" s="4"/>
    </row>
    <row r="44" spans="2:11">
      <c r="B44" t="s">
        <v>150</v>
      </c>
      <c r="C44" s="1" t="s">
        <v>151</v>
      </c>
      <c r="D44" s="1" t="s">
        <v>152</v>
      </c>
      <c r="E44" s="8" t="s">
        <v>153</v>
      </c>
      <c r="F44" s="8" t="s">
        <v>525</v>
      </c>
      <c r="G44" s="1" t="s">
        <v>154</v>
      </c>
      <c r="H44" s="1" t="s">
        <v>155</v>
      </c>
      <c r="J44" s="2"/>
      <c r="K44" s="4"/>
    </row>
    <row r="45" spans="2:11">
      <c r="B45" t="s">
        <v>156</v>
      </c>
      <c r="C45" s="1" t="s">
        <v>157</v>
      </c>
      <c r="D45" s="1" t="s">
        <v>158</v>
      </c>
      <c r="E45" s="8" t="s">
        <v>159</v>
      </c>
      <c r="F45" s="8" t="s">
        <v>525</v>
      </c>
      <c r="G45" s="1" t="s">
        <v>160</v>
      </c>
      <c r="H45" s="1" t="s">
        <v>161</v>
      </c>
      <c r="J45" s="2"/>
      <c r="K45" s="4"/>
    </row>
    <row r="46" spans="2:11">
      <c r="C46" s="1"/>
      <c r="D46" s="1"/>
      <c r="E46" s="8"/>
      <c r="F46" s="8"/>
      <c r="G46" s="1"/>
      <c r="H46" s="1"/>
      <c r="J46" s="2"/>
      <c r="K46" s="4"/>
    </row>
    <row r="47" spans="2:11">
      <c r="B47" t="s">
        <v>162</v>
      </c>
      <c r="C47" s="1"/>
      <c r="D47" s="1"/>
      <c r="E47" s="8"/>
      <c r="F47" s="8"/>
      <c r="G47" s="1"/>
      <c r="H47" s="1"/>
      <c r="J47" s="2"/>
      <c r="K47" s="4"/>
    </row>
    <row r="48" spans="2:11">
      <c r="B48" t="s">
        <v>163</v>
      </c>
      <c r="C48" s="1"/>
      <c r="D48" s="1"/>
      <c r="E48" s="8"/>
      <c r="F48" s="8"/>
      <c r="G48" s="1"/>
      <c r="H48" s="1"/>
      <c r="J48" s="2"/>
      <c r="K48" s="4"/>
    </row>
    <row r="49" spans="2:11">
      <c r="B49" t="s">
        <v>164</v>
      </c>
      <c r="C49" s="1" t="s">
        <v>165</v>
      </c>
      <c r="D49" s="1" t="s">
        <v>8</v>
      </c>
      <c r="E49" s="8" t="s">
        <v>9</v>
      </c>
      <c r="F49" s="8" t="s">
        <v>524</v>
      </c>
      <c r="G49" s="1" t="s">
        <v>166</v>
      </c>
      <c r="H49" s="1" t="s">
        <v>503</v>
      </c>
      <c r="J49" s="2"/>
      <c r="K49" s="4"/>
    </row>
    <row r="50" spans="2:11">
      <c r="B50" t="s">
        <v>167</v>
      </c>
      <c r="C50" s="1" t="s">
        <v>168</v>
      </c>
      <c r="D50" s="1" t="s">
        <v>8</v>
      </c>
      <c r="E50" s="8" t="s">
        <v>9</v>
      </c>
      <c r="F50" s="8" t="s">
        <v>524</v>
      </c>
      <c r="G50" s="1" t="s">
        <v>169</v>
      </c>
      <c r="H50" s="1" t="s">
        <v>170</v>
      </c>
      <c r="J50" s="2"/>
      <c r="K50" s="4"/>
    </row>
    <row r="51" spans="2:11">
      <c r="B51" t="s">
        <v>171</v>
      </c>
      <c r="C51" s="1" t="s">
        <v>172</v>
      </c>
      <c r="D51" s="1" t="s">
        <v>8</v>
      </c>
      <c r="E51" s="8" t="s">
        <v>9</v>
      </c>
      <c r="F51" s="8" t="s">
        <v>524</v>
      </c>
      <c r="G51" s="1" t="s">
        <v>173</v>
      </c>
      <c r="H51" s="1" t="s">
        <v>174</v>
      </c>
      <c r="J51" s="2"/>
      <c r="K51" s="4"/>
    </row>
    <row r="52" spans="2:11">
      <c r="B52" t="s">
        <v>175</v>
      </c>
      <c r="C52" s="1" t="s">
        <v>176</v>
      </c>
      <c r="D52" s="1" t="s">
        <v>177</v>
      </c>
      <c r="E52" s="8" t="s">
        <v>9</v>
      </c>
      <c r="F52" s="8" t="s">
        <v>524</v>
      </c>
      <c r="G52" s="1" t="s">
        <v>178</v>
      </c>
      <c r="H52" s="1" t="s">
        <v>15</v>
      </c>
      <c r="J52" s="2"/>
      <c r="K52" s="4"/>
    </row>
    <row r="53" spans="2:11">
      <c r="B53" t="s">
        <v>179</v>
      </c>
      <c r="C53" s="1" t="s">
        <v>180</v>
      </c>
      <c r="D53" s="1" t="s">
        <v>8</v>
      </c>
      <c r="E53" s="8" t="s">
        <v>9</v>
      </c>
      <c r="F53" s="8" t="s">
        <v>524</v>
      </c>
      <c r="G53" s="1" t="s">
        <v>181</v>
      </c>
      <c r="H53" s="1" t="s">
        <v>15</v>
      </c>
      <c r="J53" s="2"/>
      <c r="K53" s="4"/>
    </row>
    <row r="54" spans="2:11">
      <c r="B54" t="s">
        <v>182</v>
      </c>
      <c r="C54" s="1" t="s">
        <v>183</v>
      </c>
      <c r="D54" s="1" t="s">
        <v>14</v>
      </c>
      <c r="E54" s="8" t="s">
        <v>9</v>
      </c>
      <c r="F54" s="8" t="s">
        <v>524</v>
      </c>
      <c r="G54" s="1" t="s">
        <v>184</v>
      </c>
      <c r="H54" s="1" t="s">
        <v>185</v>
      </c>
      <c r="J54" s="2"/>
      <c r="K54" s="4"/>
    </row>
    <row r="55" spans="2:11">
      <c r="B55" t="s">
        <v>186</v>
      </c>
      <c r="C55" s="1" t="s">
        <v>187</v>
      </c>
      <c r="D55" s="1" t="s">
        <v>188</v>
      </c>
      <c r="E55" s="8" t="s">
        <v>9</v>
      </c>
      <c r="F55" s="8" t="s">
        <v>524</v>
      </c>
      <c r="G55" s="1" t="s">
        <v>189</v>
      </c>
      <c r="H55" s="1" t="s">
        <v>504</v>
      </c>
      <c r="J55" s="2"/>
      <c r="K55" s="4"/>
    </row>
    <row r="56" spans="2:11">
      <c r="B56" t="s">
        <v>190</v>
      </c>
      <c r="C56" s="1" t="s">
        <v>191</v>
      </c>
      <c r="D56" s="1" t="s">
        <v>8</v>
      </c>
      <c r="E56" s="8" t="s">
        <v>9</v>
      </c>
      <c r="F56" s="8" t="s">
        <v>524</v>
      </c>
      <c r="G56" s="1" t="s">
        <v>192</v>
      </c>
      <c r="H56" s="1" t="s">
        <v>193</v>
      </c>
      <c r="J56" s="2"/>
      <c r="K56" s="4"/>
    </row>
    <row r="57" spans="2:11">
      <c r="B57" t="s">
        <v>194</v>
      </c>
      <c r="C57" s="1" t="s">
        <v>195</v>
      </c>
      <c r="D57" s="1" t="s">
        <v>8</v>
      </c>
      <c r="E57" s="8" t="s">
        <v>9</v>
      </c>
      <c r="F57" s="8" t="s">
        <v>524</v>
      </c>
      <c r="G57" s="1" t="s">
        <v>196</v>
      </c>
      <c r="H57" s="1" t="s">
        <v>197</v>
      </c>
      <c r="J57" s="2"/>
      <c r="K57" s="4"/>
    </row>
    <row r="58" spans="2:11">
      <c r="B58" t="s">
        <v>198</v>
      </c>
      <c r="C58" s="1"/>
      <c r="D58" s="1"/>
      <c r="E58" s="8"/>
      <c r="F58" s="8"/>
      <c r="G58" s="1"/>
      <c r="H58" s="1"/>
      <c r="J58" s="2"/>
      <c r="K58" s="4"/>
    </row>
    <row r="59" spans="2:11">
      <c r="B59" t="s">
        <v>199</v>
      </c>
      <c r="C59" s="1" t="s">
        <v>200</v>
      </c>
      <c r="D59" s="1" t="s">
        <v>201</v>
      </c>
      <c r="E59" s="8" t="s">
        <v>9</v>
      </c>
      <c r="F59" s="8" t="s">
        <v>524</v>
      </c>
      <c r="G59" s="1" t="s">
        <v>202</v>
      </c>
      <c r="H59" s="1" t="s">
        <v>203</v>
      </c>
      <c r="J59" s="2"/>
      <c r="K59" s="4"/>
    </row>
    <row r="60" spans="2:11">
      <c r="B60" t="s">
        <v>204</v>
      </c>
      <c r="C60" s="1" t="s">
        <v>205</v>
      </c>
      <c r="D60" s="1" t="s">
        <v>64</v>
      </c>
      <c r="E60" s="8" t="s">
        <v>9</v>
      </c>
      <c r="F60" s="8" t="s">
        <v>524</v>
      </c>
      <c r="G60" s="1" t="s">
        <v>206</v>
      </c>
      <c r="H60" s="1" t="s">
        <v>15</v>
      </c>
      <c r="J60" s="2"/>
      <c r="K60" s="4"/>
    </row>
    <row r="61" spans="2:11">
      <c r="B61" t="s">
        <v>207</v>
      </c>
      <c r="C61" s="1" t="s">
        <v>208</v>
      </c>
      <c r="D61" s="1" t="s">
        <v>209</v>
      </c>
      <c r="E61" s="8" t="s">
        <v>9</v>
      </c>
      <c r="F61" s="8" t="s">
        <v>524</v>
      </c>
      <c r="G61" s="1" t="s">
        <v>206</v>
      </c>
      <c r="H61" s="1" t="s">
        <v>15</v>
      </c>
      <c r="J61" s="2"/>
      <c r="K61" s="4"/>
    </row>
    <row r="62" spans="2:11">
      <c r="B62" t="s">
        <v>210</v>
      </c>
      <c r="C62" s="1" t="s">
        <v>211</v>
      </c>
      <c r="D62" s="1" t="s">
        <v>59</v>
      </c>
      <c r="E62" s="8" t="s">
        <v>79</v>
      </c>
      <c r="F62" s="8" t="s">
        <v>524</v>
      </c>
      <c r="G62" s="1" t="s">
        <v>206</v>
      </c>
      <c r="H62" s="1" t="s">
        <v>212</v>
      </c>
      <c r="J62" s="2"/>
      <c r="K62" s="4"/>
    </row>
    <row r="63" spans="2:11">
      <c r="B63" t="s">
        <v>213</v>
      </c>
      <c r="C63" s="1" t="s">
        <v>214</v>
      </c>
      <c r="D63" s="1" t="s">
        <v>8</v>
      </c>
      <c r="E63" s="8" t="s">
        <v>9</v>
      </c>
      <c r="F63" s="8" t="s">
        <v>524</v>
      </c>
      <c r="G63" s="1" t="s">
        <v>206</v>
      </c>
      <c r="H63" s="1" t="s">
        <v>215</v>
      </c>
      <c r="J63" s="2"/>
      <c r="K63" s="4"/>
    </row>
    <row r="64" spans="2:11">
      <c r="B64" t="s">
        <v>216</v>
      </c>
      <c r="C64" s="1"/>
      <c r="D64" s="1"/>
      <c r="E64" s="8"/>
      <c r="F64" s="8"/>
      <c r="G64" s="1"/>
      <c r="H64" s="1"/>
      <c r="J64" s="2"/>
      <c r="K64" s="4"/>
    </row>
    <row r="65" spans="2:11">
      <c r="B65" t="s">
        <v>217</v>
      </c>
      <c r="C65" s="1" t="s">
        <v>218</v>
      </c>
      <c r="D65" s="1" t="s">
        <v>8</v>
      </c>
      <c r="E65" s="8" t="s">
        <v>9</v>
      </c>
      <c r="F65" s="8" t="s">
        <v>524</v>
      </c>
      <c r="G65" s="1" t="s">
        <v>219</v>
      </c>
      <c r="H65" s="1" t="s">
        <v>220</v>
      </c>
      <c r="J65" s="2"/>
      <c r="K65" s="4"/>
    </row>
    <row r="66" spans="2:11">
      <c r="B66" t="s">
        <v>221</v>
      </c>
      <c r="C66" s="1" t="s">
        <v>222</v>
      </c>
      <c r="D66" s="1" t="s">
        <v>223</v>
      </c>
      <c r="E66" s="8" t="s">
        <v>9</v>
      </c>
      <c r="F66" s="8" t="s">
        <v>524</v>
      </c>
      <c r="G66" s="1" t="s">
        <v>224</v>
      </c>
      <c r="H66" s="1" t="s">
        <v>225</v>
      </c>
      <c r="J66" s="2"/>
      <c r="K66" s="4"/>
    </row>
    <row r="67" spans="2:11">
      <c r="B67" t="s">
        <v>226</v>
      </c>
      <c r="C67" s="1" t="s">
        <v>227</v>
      </c>
      <c r="D67" s="1" t="s">
        <v>8</v>
      </c>
      <c r="E67" s="8" t="s">
        <v>9</v>
      </c>
      <c r="F67" s="8" t="s">
        <v>524</v>
      </c>
      <c r="G67" s="1" t="s">
        <v>228</v>
      </c>
      <c r="H67" s="1" t="s">
        <v>15</v>
      </c>
      <c r="J67" s="2"/>
      <c r="K67" s="4"/>
    </row>
    <row r="68" spans="2:11">
      <c r="B68" t="s">
        <v>229</v>
      </c>
      <c r="C68" s="1" t="s">
        <v>230</v>
      </c>
      <c r="D68" s="1" t="s">
        <v>231</v>
      </c>
      <c r="E68" s="8" t="s">
        <v>9</v>
      </c>
      <c r="F68" s="8" t="s">
        <v>524</v>
      </c>
      <c r="G68" s="1" t="s">
        <v>232</v>
      </c>
      <c r="H68" s="1" t="s">
        <v>233</v>
      </c>
      <c r="J68" s="2"/>
      <c r="K68" s="4"/>
    </row>
    <row r="69" spans="2:11">
      <c r="B69" t="s">
        <v>234</v>
      </c>
      <c r="C69" s="1"/>
      <c r="D69" s="1"/>
      <c r="E69" s="8"/>
      <c r="F69" s="8"/>
      <c r="G69" s="1"/>
      <c r="H69" s="1"/>
      <c r="J69" s="2"/>
      <c r="K69" s="4"/>
    </row>
    <row r="70" spans="2:11">
      <c r="B70" t="s">
        <v>235</v>
      </c>
      <c r="C70" s="1" t="s">
        <v>236</v>
      </c>
      <c r="D70" s="1" t="s">
        <v>237</v>
      </c>
      <c r="E70" s="8" t="s">
        <v>9</v>
      </c>
      <c r="F70" s="8" t="s">
        <v>524</v>
      </c>
      <c r="G70" s="1" t="s">
        <v>238</v>
      </c>
      <c r="H70" s="1"/>
      <c r="J70" s="2"/>
      <c r="K70" s="4"/>
    </row>
    <row r="71" spans="2:11">
      <c r="C71" s="1"/>
      <c r="D71" s="1"/>
      <c r="E71" s="8"/>
      <c r="F71" s="8"/>
      <c r="G71" s="1"/>
      <c r="H71" s="1"/>
      <c r="J71" s="2"/>
      <c r="K71" s="4"/>
    </row>
    <row r="72" spans="2:11">
      <c r="B72" t="s">
        <v>239</v>
      </c>
      <c r="C72" s="1"/>
      <c r="D72" s="1"/>
      <c r="E72" s="8"/>
      <c r="F72" s="8"/>
      <c r="G72" s="1"/>
      <c r="H72" s="1"/>
      <c r="J72" s="2"/>
      <c r="K72" s="4"/>
    </row>
    <row r="73" spans="2:11">
      <c r="B73" t="s">
        <v>240</v>
      </c>
      <c r="C73" s="1"/>
      <c r="D73" s="1"/>
      <c r="E73" s="8"/>
      <c r="F73" s="8"/>
      <c r="G73" s="1"/>
      <c r="H73" s="1"/>
      <c r="J73" s="2"/>
      <c r="K73" s="4"/>
    </row>
    <row r="74" spans="2:11">
      <c r="B74" t="s">
        <v>241</v>
      </c>
      <c r="C74" s="1" t="s">
        <v>242</v>
      </c>
      <c r="D74" s="1" t="s">
        <v>243</v>
      </c>
      <c r="E74" s="8" t="s">
        <v>9</v>
      </c>
      <c r="F74" s="8"/>
      <c r="G74" s="1" t="s">
        <v>244</v>
      </c>
      <c r="H74" s="1" t="s">
        <v>245</v>
      </c>
      <c r="J74" s="2"/>
      <c r="K74" s="4"/>
    </row>
    <row r="75" spans="2:11">
      <c r="B75" t="s">
        <v>246</v>
      </c>
      <c r="C75" s="1" t="s">
        <v>247</v>
      </c>
      <c r="D75" s="1" t="s">
        <v>248</v>
      </c>
      <c r="E75" s="8" t="s">
        <v>9</v>
      </c>
      <c r="F75" s="8"/>
      <c r="G75" s="1" t="s">
        <v>249</v>
      </c>
      <c r="H75" s="1" t="s">
        <v>505</v>
      </c>
      <c r="J75" s="2"/>
      <c r="K75" s="4"/>
    </row>
    <row r="76" spans="2:11">
      <c r="B76" t="s">
        <v>250</v>
      </c>
      <c r="C76" s="1" t="s">
        <v>251</v>
      </c>
      <c r="D76" s="1" t="s">
        <v>248</v>
      </c>
      <c r="E76" s="8" t="s">
        <v>9</v>
      </c>
      <c r="F76" s="8"/>
      <c r="G76" s="1" t="s">
        <v>252</v>
      </c>
      <c r="H76" s="1" t="s">
        <v>15</v>
      </c>
      <c r="J76" s="2"/>
      <c r="K76" s="4"/>
    </row>
    <row r="77" spans="2:11">
      <c r="B77" t="s">
        <v>253</v>
      </c>
      <c r="C77" s="1" t="s">
        <v>254</v>
      </c>
      <c r="D77" s="1" t="s">
        <v>248</v>
      </c>
      <c r="E77" s="8" t="s">
        <v>255</v>
      </c>
      <c r="F77" s="8"/>
      <c r="G77" s="1" t="s">
        <v>252</v>
      </c>
      <c r="H77" s="1" t="s">
        <v>256</v>
      </c>
      <c r="J77" s="2"/>
      <c r="K77" s="4"/>
    </row>
    <row r="78" spans="2:11">
      <c r="B78" t="s">
        <v>257</v>
      </c>
      <c r="C78" s="1" t="s">
        <v>258</v>
      </c>
      <c r="D78" s="1" t="s">
        <v>248</v>
      </c>
      <c r="E78" s="8" t="s">
        <v>9</v>
      </c>
      <c r="F78" s="8"/>
      <c r="G78" s="1" t="s">
        <v>252</v>
      </c>
      <c r="H78" s="1" t="s">
        <v>259</v>
      </c>
      <c r="J78" s="2"/>
      <c r="K78" s="4"/>
    </row>
    <row r="79" spans="2:11">
      <c r="B79" t="s">
        <v>260</v>
      </c>
      <c r="C79" s="1" t="s">
        <v>261</v>
      </c>
      <c r="D79" s="1" t="s">
        <v>248</v>
      </c>
      <c r="E79" s="8" t="s">
        <v>9</v>
      </c>
      <c r="F79" s="8"/>
      <c r="G79" s="1" t="s">
        <v>252</v>
      </c>
      <c r="H79" s="1" t="s">
        <v>15</v>
      </c>
      <c r="J79" s="2"/>
      <c r="K79" s="4"/>
    </row>
    <row r="80" spans="2:11">
      <c r="B80" t="s">
        <v>262</v>
      </c>
      <c r="C80" s="1" t="s">
        <v>263</v>
      </c>
      <c r="D80" s="1" t="s">
        <v>248</v>
      </c>
      <c r="E80" s="8" t="s">
        <v>9</v>
      </c>
      <c r="F80" s="8"/>
      <c r="G80" s="1" t="s">
        <v>252</v>
      </c>
      <c r="H80" s="1" t="s">
        <v>264</v>
      </c>
      <c r="J80" s="2"/>
      <c r="K80" s="4"/>
    </row>
    <row r="81" spans="2:11">
      <c r="B81" t="s">
        <v>265</v>
      </c>
      <c r="C81" s="1" t="s">
        <v>266</v>
      </c>
      <c r="D81" s="1" t="s">
        <v>248</v>
      </c>
      <c r="E81" s="8" t="s">
        <v>9</v>
      </c>
      <c r="F81" s="8"/>
      <c r="G81" s="1" t="s">
        <v>252</v>
      </c>
      <c r="H81" s="1" t="s">
        <v>267</v>
      </c>
      <c r="J81" s="2"/>
      <c r="K81" s="4"/>
    </row>
    <row r="82" spans="2:11">
      <c r="B82" t="s">
        <v>268</v>
      </c>
      <c r="C82" s="1" t="s">
        <v>269</v>
      </c>
      <c r="D82" s="1" t="s">
        <v>270</v>
      </c>
      <c r="E82" s="8" t="s">
        <v>9</v>
      </c>
      <c r="F82" s="8"/>
      <c r="G82" s="1" t="s">
        <v>271</v>
      </c>
      <c r="H82" s="1" t="s">
        <v>272</v>
      </c>
      <c r="J82" s="2"/>
      <c r="K82" s="4"/>
    </row>
    <row r="83" spans="2:11">
      <c r="B83" t="s">
        <v>273</v>
      </c>
      <c r="C83" s="1" t="s">
        <v>274</v>
      </c>
      <c r="D83" s="1" t="s">
        <v>248</v>
      </c>
      <c r="E83" s="8" t="s">
        <v>9</v>
      </c>
      <c r="F83" s="8"/>
      <c r="G83" s="1" t="s">
        <v>252</v>
      </c>
      <c r="H83" s="1" t="s">
        <v>275</v>
      </c>
      <c r="J83" s="2"/>
      <c r="K83" s="4"/>
    </row>
    <row r="84" spans="2:11">
      <c r="B84" t="s">
        <v>276</v>
      </c>
      <c r="C84" s="1" t="s">
        <v>277</v>
      </c>
      <c r="D84" s="1" t="s">
        <v>248</v>
      </c>
      <c r="E84" s="8" t="s">
        <v>9</v>
      </c>
      <c r="F84" s="8"/>
      <c r="G84" s="1" t="s">
        <v>278</v>
      </c>
      <c r="H84" s="1" t="s">
        <v>506</v>
      </c>
      <c r="J84" s="2"/>
      <c r="K84" s="4"/>
    </row>
    <row r="85" spans="2:11">
      <c r="B85" t="s">
        <v>279</v>
      </c>
      <c r="C85" s="1" t="s">
        <v>280</v>
      </c>
      <c r="D85" s="1" t="s">
        <v>248</v>
      </c>
      <c r="E85" s="8" t="s">
        <v>9</v>
      </c>
      <c r="F85" s="8"/>
      <c r="G85" s="1" t="s">
        <v>278</v>
      </c>
      <c r="H85" s="1" t="s">
        <v>281</v>
      </c>
      <c r="J85" s="2"/>
      <c r="K85" s="4"/>
    </row>
    <row r="86" spans="2:11">
      <c r="B86" t="s">
        <v>282</v>
      </c>
      <c r="C86" s="1" t="s">
        <v>283</v>
      </c>
      <c r="D86" s="1" t="s">
        <v>248</v>
      </c>
      <c r="E86" s="8" t="s">
        <v>9</v>
      </c>
      <c r="F86" s="8"/>
      <c r="G86" s="1" t="s">
        <v>278</v>
      </c>
      <c r="H86" s="1" t="s">
        <v>284</v>
      </c>
      <c r="J86" s="2"/>
      <c r="K86" s="4"/>
    </row>
    <row r="87" spans="2:11">
      <c r="B87" t="s">
        <v>285</v>
      </c>
      <c r="C87" s="1" t="s">
        <v>286</v>
      </c>
      <c r="D87" s="1" t="s">
        <v>248</v>
      </c>
      <c r="E87" s="8" t="s">
        <v>9</v>
      </c>
      <c r="F87" s="8"/>
      <c r="G87" s="1" t="s">
        <v>278</v>
      </c>
      <c r="H87" s="1" t="s">
        <v>287</v>
      </c>
      <c r="J87" s="2"/>
      <c r="K87" s="4"/>
    </row>
    <row r="88" spans="2:11">
      <c r="B88" t="s">
        <v>288</v>
      </c>
      <c r="C88" s="1" t="s">
        <v>289</v>
      </c>
      <c r="D88" s="1" t="s">
        <v>248</v>
      </c>
      <c r="E88" s="8" t="s">
        <v>290</v>
      </c>
      <c r="F88" s="8"/>
      <c r="G88" s="1" t="s">
        <v>278</v>
      </c>
      <c r="H88" s="1" t="s">
        <v>15</v>
      </c>
      <c r="J88" s="2"/>
      <c r="K88" s="4"/>
    </row>
    <row r="89" spans="2:11">
      <c r="B89" t="s">
        <v>291</v>
      </c>
      <c r="C89" s="1" t="s">
        <v>292</v>
      </c>
      <c r="D89" s="1" t="s">
        <v>248</v>
      </c>
      <c r="E89" s="8" t="s">
        <v>9</v>
      </c>
      <c r="F89" s="8"/>
      <c r="G89" s="1" t="s">
        <v>293</v>
      </c>
      <c r="H89" s="1" t="s">
        <v>294</v>
      </c>
      <c r="J89" s="2"/>
      <c r="K89" s="4"/>
    </row>
    <row r="90" spans="2:11">
      <c r="B90" t="s">
        <v>295</v>
      </c>
      <c r="C90" s="1" t="s">
        <v>296</v>
      </c>
      <c r="D90" s="1" t="s">
        <v>248</v>
      </c>
      <c r="E90" s="8" t="s">
        <v>9</v>
      </c>
      <c r="F90" s="8"/>
      <c r="G90" s="1" t="s">
        <v>297</v>
      </c>
      <c r="H90" s="1" t="s">
        <v>298</v>
      </c>
      <c r="J90" s="2"/>
      <c r="K90" s="4"/>
    </row>
    <row r="91" spans="2:11">
      <c r="B91" t="s">
        <v>299</v>
      </c>
      <c r="C91" s="1"/>
      <c r="D91" s="1"/>
      <c r="E91" s="8"/>
      <c r="F91" s="8"/>
      <c r="G91" s="1"/>
      <c r="H91" s="1"/>
      <c r="J91" s="2"/>
      <c r="K91" s="4"/>
    </row>
    <row r="92" spans="2:11">
      <c r="B92" t="s">
        <v>300</v>
      </c>
      <c r="C92" s="1" t="s">
        <v>301</v>
      </c>
      <c r="D92" s="1" t="s">
        <v>302</v>
      </c>
      <c r="E92" s="8" t="s">
        <v>303</v>
      </c>
      <c r="F92" s="8"/>
      <c r="G92" s="1" t="s">
        <v>304</v>
      </c>
      <c r="H92" s="1"/>
      <c r="J92" s="2"/>
      <c r="K92" s="4"/>
    </row>
    <row r="93" spans="2:11">
      <c r="B93" t="s">
        <v>305</v>
      </c>
      <c r="C93" s="1" t="s">
        <v>306</v>
      </c>
      <c r="D93" s="1" t="s">
        <v>307</v>
      </c>
      <c r="E93" s="8" t="s">
        <v>308</v>
      </c>
      <c r="F93" s="8"/>
      <c r="G93" s="1" t="s">
        <v>15</v>
      </c>
      <c r="H93" s="1"/>
      <c r="J93" s="2"/>
      <c r="K93" s="4"/>
    </row>
    <row r="94" spans="2:11">
      <c r="B94" t="s">
        <v>309</v>
      </c>
      <c r="C94" s="1" t="s">
        <v>310</v>
      </c>
      <c r="D94" s="1" t="s">
        <v>311</v>
      </c>
      <c r="E94" s="8" t="s">
        <v>312</v>
      </c>
      <c r="F94" s="8"/>
      <c r="G94" s="1" t="s">
        <v>313</v>
      </c>
      <c r="H94" s="1"/>
      <c r="J94" s="2"/>
      <c r="K94" s="4"/>
    </row>
    <row r="95" spans="2:11">
      <c r="B95" t="s">
        <v>314</v>
      </c>
      <c r="C95" s="1" t="s">
        <v>315</v>
      </c>
      <c r="D95" s="1" t="s">
        <v>316</v>
      </c>
      <c r="E95" s="8" t="s">
        <v>317</v>
      </c>
      <c r="F95" s="8"/>
      <c r="G95" s="1" t="s">
        <v>318</v>
      </c>
      <c r="H95" s="1"/>
      <c r="J95" s="2"/>
      <c r="K95" s="4"/>
    </row>
    <row r="96" spans="2:11">
      <c r="B96" t="s">
        <v>319</v>
      </c>
      <c r="C96" s="1" t="s">
        <v>320</v>
      </c>
      <c r="D96" s="1" t="s">
        <v>321</v>
      </c>
      <c r="E96" s="8" t="s">
        <v>322</v>
      </c>
      <c r="F96" s="8"/>
      <c r="G96" s="1" t="s">
        <v>507</v>
      </c>
      <c r="H96" s="1"/>
      <c r="J96" s="2"/>
      <c r="K96" s="4"/>
    </row>
    <row r="97" spans="2:11">
      <c r="B97" t="s">
        <v>323</v>
      </c>
      <c r="C97" s="1" t="s">
        <v>324</v>
      </c>
      <c r="D97" s="1" t="s">
        <v>325</v>
      </c>
      <c r="E97" s="8" t="s">
        <v>326</v>
      </c>
      <c r="F97" s="8"/>
      <c r="G97" s="1" t="s">
        <v>327</v>
      </c>
      <c r="H97" s="1"/>
      <c r="J97" s="2"/>
      <c r="K97" s="4"/>
    </row>
    <row r="98" spans="2:11">
      <c r="B98" t="s">
        <v>328</v>
      </c>
      <c r="C98" s="1" t="s">
        <v>329</v>
      </c>
      <c r="D98" s="1" t="s">
        <v>330</v>
      </c>
      <c r="E98" s="8" t="s">
        <v>331</v>
      </c>
      <c r="F98" s="8"/>
      <c r="G98" s="1" t="s">
        <v>332</v>
      </c>
      <c r="H98" s="1"/>
      <c r="J98" s="2"/>
      <c r="K98" s="4"/>
    </row>
    <row r="99" spans="2:11">
      <c r="B99" t="s">
        <v>333</v>
      </c>
      <c r="C99" s="1" t="s">
        <v>334</v>
      </c>
      <c r="D99" s="1" t="s">
        <v>335</v>
      </c>
      <c r="E99" s="8" t="s">
        <v>336</v>
      </c>
      <c r="F99" s="8"/>
      <c r="G99" s="1" t="s">
        <v>15</v>
      </c>
      <c r="H99" s="1"/>
      <c r="J99" s="2"/>
      <c r="K99" s="4"/>
    </row>
    <row r="100" spans="2:11">
      <c r="B100" t="s">
        <v>337</v>
      </c>
      <c r="C100" s="1" t="s">
        <v>338</v>
      </c>
      <c r="D100" s="1" t="s">
        <v>339</v>
      </c>
      <c r="E100" s="8" t="s">
        <v>340</v>
      </c>
      <c r="F100" s="8"/>
      <c r="G100" s="1" t="s">
        <v>508</v>
      </c>
      <c r="H100" s="1"/>
      <c r="J100" s="2"/>
      <c r="K100" s="4"/>
    </row>
    <row r="101" spans="2:11">
      <c r="B101" t="s">
        <v>341</v>
      </c>
      <c r="C101" s="1" t="s">
        <v>342</v>
      </c>
      <c r="D101" s="1" t="s">
        <v>343</v>
      </c>
      <c r="E101" s="8" t="s">
        <v>344</v>
      </c>
      <c r="F101" s="8"/>
      <c r="G101" s="1" t="s">
        <v>345</v>
      </c>
      <c r="H101" s="1"/>
      <c r="J101" s="2"/>
      <c r="K101" s="4"/>
    </row>
    <row r="102" spans="2:11">
      <c r="B102" t="s">
        <v>346</v>
      </c>
      <c r="C102" s="1" t="s">
        <v>347</v>
      </c>
      <c r="D102" s="1" t="s">
        <v>348</v>
      </c>
      <c r="E102" s="8" t="s">
        <v>349</v>
      </c>
      <c r="F102" s="8"/>
      <c r="G102" s="1" t="s">
        <v>350</v>
      </c>
      <c r="H102" s="1"/>
      <c r="J102" s="2"/>
      <c r="K102" s="4"/>
    </row>
    <row r="103" spans="2:11">
      <c r="B103" t="s">
        <v>351</v>
      </c>
      <c r="C103" s="1" t="s">
        <v>352</v>
      </c>
      <c r="D103" s="1" t="s">
        <v>353</v>
      </c>
      <c r="E103" s="8" t="s">
        <v>354</v>
      </c>
      <c r="F103" s="8"/>
      <c r="G103" s="1" t="s">
        <v>355</v>
      </c>
      <c r="H103" s="1"/>
      <c r="J103" s="2"/>
      <c r="K103" s="4"/>
    </row>
    <row r="104" spans="2:11">
      <c r="B104" t="s">
        <v>356</v>
      </c>
      <c r="C104" s="1" t="s">
        <v>357</v>
      </c>
      <c r="D104" s="1" t="s">
        <v>358</v>
      </c>
      <c r="E104" s="8" t="s">
        <v>359</v>
      </c>
      <c r="F104" s="8"/>
      <c r="G104" s="1" t="s">
        <v>360</v>
      </c>
      <c r="H104" s="1"/>
      <c r="J104" s="2"/>
      <c r="K104" s="4"/>
    </row>
    <row r="105" spans="2:11">
      <c r="B105" t="s">
        <v>361</v>
      </c>
      <c r="C105" s="1" t="s">
        <v>362</v>
      </c>
      <c r="D105" s="1" t="s">
        <v>363</v>
      </c>
      <c r="E105" s="8" t="s">
        <v>364</v>
      </c>
      <c r="F105" s="8"/>
      <c r="G105" s="1" t="s">
        <v>365</v>
      </c>
      <c r="H105" s="1"/>
      <c r="J105" s="2"/>
      <c r="K105" s="4"/>
    </row>
    <row r="106" spans="2:11">
      <c r="B106" t="s">
        <v>366</v>
      </c>
      <c r="C106" s="1" t="s">
        <v>367</v>
      </c>
      <c r="D106" s="1" t="s">
        <v>368</v>
      </c>
      <c r="E106" s="8" t="s">
        <v>369</v>
      </c>
      <c r="F106" s="8"/>
      <c r="G106" s="1" t="s">
        <v>370</v>
      </c>
      <c r="H106" s="1"/>
      <c r="J106" s="2"/>
      <c r="K106" s="4"/>
    </row>
    <row r="107" spans="2:11">
      <c r="C107" s="1"/>
      <c r="D107" s="1"/>
      <c r="E107" s="8"/>
      <c r="F107" s="8"/>
      <c r="G107" s="1"/>
      <c r="H107" s="1"/>
      <c r="J107" s="2"/>
      <c r="K107" s="4"/>
    </row>
    <row r="108" spans="2:11">
      <c r="B108" t="s">
        <v>371</v>
      </c>
      <c r="C108" s="1"/>
      <c r="D108" s="1"/>
      <c r="E108" s="8"/>
      <c r="F108" s="8"/>
      <c r="G108" s="1"/>
      <c r="H108" s="1"/>
      <c r="J108" s="2"/>
      <c r="K108" s="4"/>
    </row>
    <row r="109" spans="2:11">
      <c r="B109" t="s">
        <v>372</v>
      </c>
      <c r="C109" s="1"/>
      <c r="D109" s="1"/>
      <c r="E109" s="8"/>
      <c r="F109" s="8"/>
      <c r="G109" s="1"/>
      <c r="H109" s="1"/>
      <c r="J109" s="2"/>
      <c r="K109" s="4"/>
    </row>
    <row r="110" spans="2:11">
      <c r="B110" t="s">
        <v>373</v>
      </c>
      <c r="C110" s="1" t="s">
        <v>374</v>
      </c>
      <c r="D110" s="1" t="s">
        <v>375</v>
      </c>
      <c r="E110" s="8" t="s">
        <v>9</v>
      </c>
      <c r="F110" s="8"/>
      <c r="G110" s="1" t="s">
        <v>376</v>
      </c>
      <c r="H110" s="1"/>
      <c r="J110" s="2"/>
      <c r="K110" s="4"/>
    </row>
    <row r="111" spans="2:11">
      <c r="B111" t="s">
        <v>377</v>
      </c>
      <c r="C111" s="1" t="s">
        <v>378</v>
      </c>
      <c r="D111" s="1" t="s">
        <v>248</v>
      </c>
      <c r="E111" s="8" t="s">
        <v>9</v>
      </c>
      <c r="F111" s="8"/>
      <c r="G111" s="1" t="s">
        <v>376</v>
      </c>
      <c r="H111" s="1"/>
      <c r="J111" s="2"/>
      <c r="K111" s="4"/>
    </row>
    <row r="112" spans="2:11">
      <c r="B112" t="s">
        <v>379</v>
      </c>
      <c r="C112" s="1" t="s">
        <v>380</v>
      </c>
      <c r="D112" s="1" t="s">
        <v>248</v>
      </c>
      <c r="E112" s="8" t="s">
        <v>9</v>
      </c>
      <c r="F112" s="8"/>
      <c r="G112" s="1" t="s">
        <v>381</v>
      </c>
      <c r="H112" s="1"/>
      <c r="J112" s="2"/>
      <c r="K112" s="4"/>
    </row>
    <row r="113" spans="2:11">
      <c r="B113" t="s">
        <v>382</v>
      </c>
      <c r="C113" s="1" t="s">
        <v>383</v>
      </c>
      <c r="D113" s="1" t="s">
        <v>59</v>
      </c>
      <c r="E113" s="8" t="s">
        <v>9</v>
      </c>
      <c r="F113" s="8"/>
      <c r="G113" s="1" t="s">
        <v>376</v>
      </c>
      <c r="H113" s="1"/>
      <c r="J113" s="2"/>
      <c r="K113" s="4"/>
    </row>
    <row r="114" spans="2:11">
      <c r="B114" t="s">
        <v>384</v>
      </c>
      <c r="C114" s="1" t="s">
        <v>385</v>
      </c>
      <c r="D114" s="1" t="s">
        <v>18</v>
      </c>
      <c r="E114" s="8" t="s">
        <v>9</v>
      </c>
      <c r="F114" s="8"/>
      <c r="G114" s="1" t="s">
        <v>376</v>
      </c>
      <c r="H114" s="1"/>
      <c r="J114" s="2"/>
      <c r="K114" s="4"/>
    </row>
    <row r="115" spans="2:11">
      <c r="B115" t="s">
        <v>386</v>
      </c>
      <c r="C115" s="1" t="s">
        <v>387</v>
      </c>
      <c r="D115" s="1" t="s">
        <v>18</v>
      </c>
      <c r="E115" s="8" t="s">
        <v>9</v>
      </c>
      <c r="F115" s="8"/>
      <c r="G115" s="1" t="s">
        <v>376</v>
      </c>
      <c r="H115" s="1"/>
      <c r="J115" s="2"/>
      <c r="K115" s="4"/>
    </row>
    <row r="116" spans="2:11">
      <c r="B116" t="s">
        <v>388</v>
      </c>
      <c r="C116" s="1" t="s">
        <v>72</v>
      </c>
      <c r="D116" s="1" t="s">
        <v>389</v>
      </c>
      <c r="E116" s="8" t="s">
        <v>9</v>
      </c>
      <c r="F116" s="8"/>
      <c r="G116" s="1" t="s">
        <v>376</v>
      </c>
      <c r="H116" s="1"/>
      <c r="J116" s="2"/>
      <c r="K116" s="4"/>
    </row>
    <row r="117" spans="2:11">
      <c r="B117" t="s">
        <v>390</v>
      </c>
      <c r="C117" s="1" t="s">
        <v>391</v>
      </c>
      <c r="D117" s="1" t="s">
        <v>392</v>
      </c>
      <c r="E117" s="8" t="s">
        <v>9</v>
      </c>
      <c r="F117" s="8"/>
      <c r="G117" s="1" t="s">
        <v>376</v>
      </c>
      <c r="H117" s="1"/>
      <c r="J117" s="2"/>
      <c r="K117" s="4"/>
    </row>
    <row r="118" spans="2:11">
      <c r="B118" t="s">
        <v>393</v>
      </c>
      <c r="C118" s="1" t="s">
        <v>394</v>
      </c>
      <c r="D118" s="1" t="s">
        <v>395</v>
      </c>
      <c r="E118" s="8" t="s">
        <v>396</v>
      </c>
      <c r="F118" s="8"/>
      <c r="G118" s="1" t="s">
        <v>397</v>
      </c>
      <c r="H118" s="1"/>
      <c r="J118" s="2"/>
      <c r="K118" s="4"/>
    </row>
    <row r="119" spans="2:11">
      <c r="B119" t="s">
        <v>398</v>
      </c>
      <c r="C119" s="1"/>
      <c r="D119" s="1"/>
      <c r="E119" s="8"/>
      <c r="F119" s="8"/>
      <c r="G119" s="1"/>
      <c r="H119" s="1"/>
      <c r="J119" s="2"/>
      <c r="K119" s="4"/>
    </row>
    <row r="120" spans="2:11">
      <c r="B120" t="s">
        <v>399</v>
      </c>
      <c r="C120" s="1" t="s">
        <v>400</v>
      </c>
      <c r="D120" s="1" t="s">
        <v>8</v>
      </c>
      <c r="E120" s="8" t="s">
        <v>9</v>
      </c>
      <c r="F120" s="8"/>
      <c r="G120" s="1" t="s">
        <v>401</v>
      </c>
      <c r="H120" s="1" t="s">
        <v>15</v>
      </c>
      <c r="J120" s="2"/>
      <c r="K120" s="4"/>
    </row>
    <row r="121" spans="2:11">
      <c r="B121" t="s">
        <v>402</v>
      </c>
      <c r="C121" s="1" t="s">
        <v>403</v>
      </c>
      <c r="D121" s="1" t="s">
        <v>8</v>
      </c>
      <c r="E121" s="8" t="s">
        <v>9</v>
      </c>
      <c r="F121" s="8"/>
      <c r="G121" s="1" t="s">
        <v>404</v>
      </c>
      <c r="H121" s="1" t="s">
        <v>405</v>
      </c>
      <c r="J121" s="2"/>
      <c r="K121" s="4"/>
    </row>
    <row r="122" spans="2:11">
      <c r="B122" t="s">
        <v>406</v>
      </c>
      <c r="C122" s="1" t="s">
        <v>407</v>
      </c>
      <c r="D122" s="1" t="s">
        <v>64</v>
      </c>
      <c r="E122" s="8" t="s">
        <v>9</v>
      </c>
      <c r="F122" s="8"/>
      <c r="G122" s="1" t="s">
        <v>408</v>
      </c>
      <c r="H122" s="1" t="s">
        <v>15</v>
      </c>
      <c r="J122" s="2"/>
      <c r="K122" s="4"/>
    </row>
    <row r="123" spans="2:11">
      <c r="B123" t="s">
        <v>409</v>
      </c>
      <c r="C123" s="1" t="s">
        <v>410</v>
      </c>
      <c r="D123" s="1" t="s">
        <v>59</v>
      </c>
      <c r="E123" s="8" t="s">
        <v>9</v>
      </c>
      <c r="F123" s="8"/>
      <c r="G123" s="1" t="s">
        <v>408</v>
      </c>
      <c r="H123" s="1" t="s">
        <v>411</v>
      </c>
      <c r="J123" s="2"/>
      <c r="K123" s="4"/>
    </row>
    <row r="124" spans="2:11">
      <c r="B124" t="s">
        <v>412</v>
      </c>
      <c r="C124" s="1" t="s">
        <v>413</v>
      </c>
      <c r="D124" s="1" t="s">
        <v>64</v>
      </c>
      <c r="E124" s="8" t="s">
        <v>9</v>
      </c>
      <c r="F124" s="8"/>
      <c r="G124" s="1" t="s">
        <v>408</v>
      </c>
      <c r="H124" s="1" t="s">
        <v>414</v>
      </c>
      <c r="J124" s="2"/>
      <c r="K124" s="4"/>
    </row>
    <row r="125" spans="2:11">
      <c r="B125" t="s">
        <v>415</v>
      </c>
      <c r="C125" s="1" t="s">
        <v>72</v>
      </c>
      <c r="D125" s="1" t="s">
        <v>416</v>
      </c>
      <c r="E125" s="8" t="s">
        <v>9</v>
      </c>
      <c r="F125" s="8"/>
      <c r="G125" s="1" t="s">
        <v>408</v>
      </c>
      <c r="H125" s="1" t="s">
        <v>75</v>
      </c>
      <c r="J125" s="2"/>
      <c r="K125" s="4"/>
    </row>
    <row r="126" spans="2:11">
      <c r="B126" t="s">
        <v>417</v>
      </c>
      <c r="C126" s="1" t="s">
        <v>418</v>
      </c>
      <c r="D126" s="1" t="s">
        <v>419</v>
      </c>
      <c r="E126" s="8" t="s">
        <v>420</v>
      </c>
      <c r="F126" s="8"/>
      <c r="G126" s="1" t="s">
        <v>421</v>
      </c>
      <c r="H126" s="1" t="s">
        <v>422</v>
      </c>
      <c r="J126" s="2"/>
      <c r="K126" s="4"/>
    </row>
    <row r="127" spans="2:11">
      <c r="B127" t="s">
        <v>423</v>
      </c>
      <c r="C127" s="1" t="s">
        <v>424</v>
      </c>
      <c r="D127" s="1" t="s">
        <v>419</v>
      </c>
      <c r="E127" s="8" t="s">
        <v>9</v>
      </c>
      <c r="F127" s="8"/>
      <c r="G127" s="1" t="s">
        <v>425</v>
      </c>
      <c r="H127" s="1" t="s">
        <v>426</v>
      </c>
      <c r="J127" s="2"/>
      <c r="K127" s="4"/>
    </row>
    <row r="128" spans="2:11">
      <c r="B128" t="s">
        <v>427</v>
      </c>
      <c r="C128" s="1" t="s">
        <v>428</v>
      </c>
      <c r="D128" s="1" t="s">
        <v>419</v>
      </c>
      <c r="E128" s="8" t="s">
        <v>9</v>
      </c>
      <c r="F128" s="8"/>
      <c r="G128" s="1" t="s">
        <v>429</v>
      </c>
      <c r="H128" s="1" t="s">
        <v>430</v>
      </c>
      <c r="J128" s="2"/>
      <c r="K128" s="4"/>
    </row>
    <row r="129" spans="2:11">
      <c r="B129" t="s">
        <v>431</v>
      </c>
      <c r="C129" s="1" t="s">
        <v>432</v>
      </c>
      <c r="D129" s="1" t="s">
        <v>419</v>
      </c>
      <c r="E129" s="8" t="s">
        <v>9</v>
      </c>
      <c r="F129" s="8"/>
      <c r="G129" s="1" t="s">
        <v>429</v>
      </c>
      <c r="H129" s="1" t="s">
        <v>433</v>
      </c>
      <c r="J129" s="2"/>
      <c r="K129" s="4"/>
    </row>
    <row r="130" spans="2:11">
      <c r="B130" t="s">
        <v>434</v>
      </c>
      <c r="C130" s="1" t="s">
        <v>435</v>
      </c>
      <c r="D130" s="1" t="s">
        <v>436</v>
      </c>
      <c r="E130" s="8" t="s">
        <v>437</v>
      </c>
      <c r="F130" s="8"/>
      <c r="G130" s="1" t="s">
        <v>429</v>
      </c>
      <c r="H130" s="1" t="s">
        <v>438</v>
      </c>
      <c r="J130" s="2"/>
      <c r="K130" s="4"/>
    </row>
    <row r="131" spans="2:11">
      <c r="B131" t="s">
        <v>439</v>
      </c>
      <c r="C131" s="1" t="s">
        <v>440</v>
      </c>
      <c r="D131" s="1" t="s">
        <v>419</v>
      </c>
      <c r="E131" s="8" t="s">
        <v>441</v>
      </c>
      <c r="F131" s="8"/>
      <c r="G131" s="1" t="s">
        <v>442</v>
      </c>
      <c r="H131" s="1" t="s">
        <v>443</v>
      </c>
      <c r="J131" s="2"/>
      <c r="K131" s="4"/>
    </row>
    <row r="132" spans="2:11">
      <c r="B132" t="s">
        <v>444</v>
      </c>
      <c r="C132" s="1" t="s">
        <v>445</v>
      </c>
      <c r="D132" s="1" t="s">
        <v>59</v>
      </c>
      <c r="E132" s="8" t="s">
        <v>446</v>
      </c>
      <c r="F132" s="8"/>
      <c r="G132" s="1" t="s">
        <v>442</v>
      </c>
      <c r="H132" s="1" t="s">
        <v>509</v>
      </c>
      <c r="J132" s="2"/>
      <c r="K132" s="4"/>
    </row>
    <row r="133" spans="2:11">
      <c r="B133" t="s">
        <v>447</v>
      </c>
      <c r="C133" s="1" t="s">
        <v>448</v>
      </c>
      <c r="D133" s="1" t="s">
        <v>419</v>
      </c>
      <c r="E133" s="8" t="s">
        <v>9</v>
      </c>
      <c r="F133" s="8"/>
      <c r="G133" s="1" t="s">
        <v>449</v>
      </c>
      <c r="H133" s="1" t="s">
        <v>510</v>
      </c>
      <c r="J133" s="2"/>
      <c r="K133" s="4"/>
    </row>
    <row r="134" spans="2:11">
      <c r="B134" t="s">
        <v>450</v>
      </c>
      <c r="C134" s="1"/>
      <c r="D134" s="1"/>
      <c r="E134" s="8"/>
      <c r="F134" s="8"/>
      <c r="G134" s="1"/>
      <c r="H134" s="1"/>
      <c r="J134" s="2"/>
      <c r="K134" s="4"/>
    </row>
    <row r="135" spans="2:11">
      <c r="B135" t="s">
        <v>451</v>
      </c>
      <c r="C135" s="1" t="s">
        <v>452</v>
      </c>
      <c r="D135" s="1" t="s">
        <v>8</v>
      </c>
      <c r="E135" s="8" t="s">
        <v>9</v>
      </c>
      <c r="F135" s="8"/>
      <c r="G135" s="1" t="s">
        <v>453</v>
      </c>
      <c r="H135" s="1" t="s">
        <v>454</v>
      </c>
      <c r="J135" s="2"/>
      <c r="K135" s="4"/>
    </row>
    <row r="136" spans="2:11">
      <c r="B136" t="s">
        <v>455</v>
      </c>
      <c r="C136" s="1" t="s">
        <v>456</v>
      </c>
      <c r="D136" s="1" t="s">
        <v>8</v>
      </c>
      <c r="E136" s="8" t="s">
        <v>9</v>
      </c>
      <c r="F136" s="8"/>
      <c r="G136" s="1" t="s">
        <v>457</v>
      </c>
      <c r="H136" s="1" t="s">
        <v>15</v>
      </c>
      <c r="J136" s="2"/>
      <c r="K136" s="4"/>
    </row>
    <row r="137" spans="2:11">
      <c r="B137" t="s">
        <v>458</v>
      </c>
      <c r="C137" s="1" t="s">
        <v>459</v>
      </c>
      <c r="D137" s="1" t="s">
        <v>248</v>
      </c>
      <c r="E137" s="8" t="s">
        <v>9</v>
      </c>
      <c r="F137" s="8"/>
      <c r="G137" s="1" t="s">
        <v>457</v>
      </c>
      <c r="H137" s="1" t="s">
        <v>15</v>
      </c>
      <c r="J137" s="2"/>
      <c r="K137" s="4"/>
    </row>
    <row r="138" spans="2:11">
      <c r="B138" t="s">
        <v>460</v>
      </c>
      <c r="C138" s="1" t="s">
        <v>461</v>
      </c>
      <c r="D138" s="1" t="s">
        <v>462</v>
      </c>
      <c r="E138" s="8" t="s">
        <v>9</v>
      </c>
      <c r="F138" s="8"/>
      <c r="G138" s="1" t="s">
        <v>463</v>
      </c>
      <c r="H138" s="1" t="s">
        <v>464</v>
      </c>
      <c r="J138" s="2"/>
      <c r="K138" s="4"/>
    </row>
    <row r="139" spans="2:11">
      <c r="B139" t="s">
        <v>465</v>
      </c>
      <c r="C139" s="1" t="s">
        <v>466</v>
      </c>
      <c r="D139" s="1" t="s">
        <v>8</v>
      </c>
      <c r="E139" s="8" t="s">
        <v>9</v>
      </c>
      <c r="F139" s="8"/>
      <c r="G139" s="1" t="s">
        <v>467</v>
      </c>
      <c r="H139" s="1" t="s">
        <v>468</v>
      </c>
      <c r="J139" s="2"/>
      <c r="K139" s="4"/>
    </row>
    <row r="140" spans="2:11">
      <c r="B140" t="s">
        <v>469</v>
      </c>
      <c r="C140" s="1" t="s">
        <v>470</v>
      </c>
      <c r="D140" s="1" t="s">
        <v>471</v>
      </c>
      <c r="E140" s="8" t="s">
        <v>472</v>
      </c>
      <c r="F140" s="8"/>
      <c r="G140" s="1" t="s">
        <v>473</v>
      </c>
      <c r="H140" s="1" t="s">
        <v>474</v>
      </c>
      <c r="J140" s="2"/>
      <c r="K140" s="4"/>
    </row>
    <row r="141" spans="2:11">
      <c r="B141" t="s">
        <v>475</v>
      </c>
      <c r="C141" s="1"/>
      <c r="D141" s="1"/>
      <c r="E141" s="8"/>
      <c r="F141" s="8"/>
      <c r="G141" s="1"/>
      <c r="H141" s="1"/>
      <c r="J141" s="2"/>
      <c r="K141" s="4"/>
    </row>
    <row r="142" spans="2:11">
      <c r="B142" t="s">
        <v>476</v>
      </c>
      <c r="C142" s="1" t="s">
        <v>477</v>
      </c>
      <c r="D142" s="1" t="s">
        <v>478</v>
      </c>
      <c r="E142" s="8" t="s">
        <v>9</v>
      </c>
      <c r="F142" s="8"/>
      <c r="G142" s="1" t="s">
        <v>479</v>
      </c>
      <c r="H142" s="1" t="s">
        <v>480</v>
      </c>
      <c r="J142" s="2"/>
      <c r="K142" s="4"/>
    </row>
    <row r="143" spans="2:11">
      <c r="B143" t="s">
        <v>481</v>
      </c>
      <c r="C143" s="1" t="s">
        <v>482</v>
      </c>
      <c r="D143" s="1" t="s">
        <v>483</v>
      </c>
      <c r="E143" s="8" t="s">
        <v>105</v>
      </c>
      <c r="F143" s="8"/>
      <c r="G143" s="1" t="s">
        <v>484</v>
      </c>
      <c r="H143" s="1" t="s">
        <v>485</v>
      </c>
      <c r="J143" s="2"/>
      <c r="K143" s="4"/>
    </row>
    <row r="144" spans="2:11">
      <c r="B144" t="s">
        <v>486</v>
      </c>
      <c r="C144" s="1" t="s">
        <v>487</v>
      </c>
      <c r="D144" s="1" t="s">
        <v>478</v>
      </c>
      <c r="E144" s="8" t="s">
        <v>9</v>
      </c>
      <c r="F144" s="8"/>
      <c r="G144" s="1" t="s">
        <v>488</v>
      </c>
      <c r="H144" s="1" t="s">
        <v>489</v>
      </c>
      <c r="J144" s="2"/>
      <c r="K144" s="4"/>
    </row>
    <row r="145" spans="1:11">
      <c r="B145" t="s">
        <v>490</v>
      </c>
      <c r="C145" s="1" t="s">
        <v>491</v>
      </c>
      <c r="D145" s="1" t="s">
        <v>492</v>
      </c>
      <c r="E145" s="8" t="s">
        <v>105</v>
      </c>
      <c r="F145" s="8"/>
      <c r="G145" s="1" t="s">
        <v>493</v>
      </c>
      <c r="H145" s="1" t="s">
        <v>494</v>
      </c>
      <c r="J145" s="2"/>
      <c r="K145" s="4"/>
    </row>
    <row r="146" spans="1:11">
      <c r="B146" t="s">
        <v>495</v>
      </c>
      <c r="C146" s="1" t="s">
        <v>496</v>
      </c>
      <c r="D146" s="1" t="s">
        <v>497</v>
      </c>
      <c r="E146" s="8" t="s">
        <v>9</v>
      </c>
      <c r="F146" s="8"/>
      <c r="G146" s="1" t="s">
        <v>498</v>
      </c>
      <c r="H146" s="1" t="s">
        <v>499</v>
      </c>
      <c r="J146" s="2"/>
      <c r="K146" s="4"/>
    </row>
    <row r="147" spans="1:11">
      <c r="C147" s="1"/>
      <c r="D147" s="1"/>
      <c r="E147" s="8"/>
      <c r="F147" s="8"/>
      <c r="G147" s="1"/>
      <c r="H147" s="1"/>
      <c r="J147" s="2"/>
      <c r="K147" s="4"/>
    </row>
    <row r="148" spans="1:11">
      <c r="C148" s="1"/>
      <c r="D148" s="1"/>
      <c r="E148" s="8"/>
      <c r="F148" s="8"/>
      <c r="G148" s="1"/>
      <c r="H148" s="1"/>
      <c r="J148" s="2"/>
      <c r="K148" s="4"/>
    </row>
    <row r="149" spans="1:11">
      <c r="K149" s="4"/>
    </row>
    <row r="150" spans="1:11">
      <c r="K150" s="4"/>
    </row>
    <row r="151" spans="1:11">
      <c r="K151" s="4"/>
    </row>
    <row r="152" spans="1:11">
      <c r="B152">
        <v>1</v>
      </c>
      <c r="C152" t="s">
        <v>551</v>
      </c>
      <c r="K152" s="4"/>
    </row>
    <row r="153" spans="1:11">
      <c r="A153" t="s">
        <v>553</v>
      </c>
      <c r="B153">
        <v>2</v>
      </c>
      <c r="C153" t="s">
        <v>552</v>
      </c>
      <c r="K153" s="4"/>
    </row>
    <row r="154" spans="1:11">
      <c r="B154">
        <v>3</v>
      </c>
      <c r="K154" s="4"/>
    </row>
    <row r="155" spans="1:11">
      <c r="K155" s="4"/>
    </row>
    <row r="156" spans="1:11">
      <c r="K156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zoomScale="125" zoomScaleNormal="70" workbookViewId="0">
      <selection activeCell="D32" sqref="D32"/>
    </sheetView>
  </sheetViews>
  <sheetFormatPr baseColWidth="10" defaultColWidth="8.83203125" defaultRowHeight="17"/>
  <cols>
    <col min="2" max="2" width="35" bestFit="1" customWidth="1"/>
    <col min="3" max="3" width="13.83203125" bestFit="1" customWidth="1"/>
    <col min="4" max="5" width="15" bestFit="1" customWidth="1"/>
  </cols>
  <sheetData>
    <row r="1" spans="2:6">
      <c r="B1" t="s">
        <v>529</v>
      </c>
    </row>
    <row r="3" spans="2:6">
      <c r="B3" t="s">
        <v>530</v>
      </c>
    </row>
    <row r="4" spans="2:6">
      <c r="B4" t="s">
        <v>531</v>
      </c>
    </row>
    <row r="5" spans="2:6">
      <c r="B5" t="s">
        <v>532</v>
      </c>
    </row>
    <row r="6" spans="2:6">
      <c r="B6" t="s">
        <v>533</v>
      </c>
      <c r="C6">
        <v>22</v>
      </c>
      <c r="D6">
        <v>23</v>
      </c>
      <c r="E6">
        <v>24</v>
      </c>
    </row>
    <row r="7" spans="2:6">
      <c r="B7" t="s">
        <v>546</v>
      </c>
    </row>
    <row r="8" spans="2:6">
      <c r="B8" t="s">
        <v>534</v>
      </c>
      <c r="C8">
        <v>1</v>
      </c>
      <c r="D8" s="9">
        <v>2859646275</v>
      </c>
      <c r="E8" s="9">
        <v>1211791636</v>
      </c>
    </row>
    <row r="9" spans="2:6">
      <c r="B9" t="s">
        <v>535</v>
      </c>
      <c r="C9">
        <v>2</v>
      </c>
      <c r="D9" s="9">
        <v>113815513485</v>
      </c>
      <c r="E9" s="9">
        <v>54163078254</v>
      </c>
      <c r="F9" s="3" t="s">
        <v>550</v>
      </c>
    </row>
    <row r="10" spans="2:6">
      <c r="B10" t="s">
        <v>536</v>
      </c>
      <c r="C10">
        <v>3</v>
      </c>
      <c r="D10" s="9">
        <v>20854107628</v>
      </c>
      <c r="E10" s="9">
        <v>23350845890</v>
      </c>
    </row>
    <row r="11" spans="2:6">
      <c r="B11" t="s">
        <v>537</v>
      </c>
      <c r="C11">
        <v>4</v>
      </c>
      <c r="D11" s="9">
        <v>58726620</v>
      </c>
      <c r="E11" s="9">
        <v>97257054</v>
      </c>
    </row>
    <row r="12" spans="2:6">
      <c r="B12" t="s">
        <v>538</v>
      </c>
      <c r="D12" s="9">
        <v>6340836534</v>
      </c>
      <c r="E12" s="9">
        <v>2965386650</v>
      </c>
    </row>
    <row r="13" spans="2:6">
      <c r="B13" s="10" t="s">
        <v>547</v>
      </c>
      <c r="D13" s="11">
        <v>143928830542</v>
      </c>
      <c r="E13" s="11">
        <v>81788359484</v>
      </c>
    </row>
    <row r="14" spans="2:6">
      <c r="B14" t="s">
        <v>539</v>
      </c>
      <c r="D14" s="9">
        <v>118566423965</v>
      </c>
      <c r="E14" s="9">
        <v>59293577247</v>
      </c>
    </row>
    <row r="15" spans="2:6">
      <c r="B15" t="s">
        <v>540</v>
      </c>
      <c r="D15" s="9">
        <v>2158269186</v>
      </c>
      <c r="E15" s="9">
        <v>1632264921</v>
      </c>
    </row>
    <row r="16" spans="2:6">
      <c r="B16" t="s">
        <v>548</v>
      </c>
      <c r="D16" s="9">
        <v>120724693151</v>
      </c>
      <c r="E16" s="9">
        <v>60925842168</v>
      </c>
    </row>
    <row r="17" spans="1:5">
      <c r="B17" t="s">
        <v>541</v>
      </c>
      <c r="D17" s="9">
        <v>1142200000</v>
      </c>
      <c r="E17" s="9">
        <v>1142200000</v>
      </c>
    </row>
    <row r="18" spans="1:5">
      <c r="B18" t="s">
        <v>542</v>
      </c>
      <c r="D18" s="9">
        <v>2693924000</v>
      </c>
      <c r="E18" s="9">
        <v>2693924000</v>
      </c>
    </row>
    <row r="19" spans="1:5">
      <c r="B19" t="s">
        <v>543</v>
      </c>
      <c r="D19" t="s">
        <v>15</v>
      </c>
      <c r="E19" s="9">
        <v>936999420</v>
      </c>
    </row>
    <row r="20" spans="1:5">
      <c r="B20" t="s">
        <v>544</v>
      </c>
      <c r="D20" s="9">
        <v>19368013391</v>
      </c>
      <c r="E20" s="9">
        <v>16089393896</v>
      </c>
    </row>
    <row r="21" spans="1:5">
      <c r="B21" t="s">
        <v>549</v>
      </c>
      <c r="D21" s="9">
        <v>23204137391</v>
      </c>
      <c r="E21" s="9">
        <v>20862517316</v>
      </c>
    </row>
    <row r="22" spans="1:5">
      <c r="B22" t="s">
        <v>545</v>
      </c>
      <c r="D22" s="9">
        <v>143928830542</v>
      </c>
      <c r="E22" s="9">
        <v>81788359484</v>
      </c>
    </row>
    <row r="24" spans="1:5">
      <c r="A24" t="s">
        <v>555</v>
      </c>
    </row>
    <row r="25" spans="1:5">
      <c r="A25">
        <v>6.1</v>
      </c>
      <c r="B25" t="s">
        <v>554</v>
      </c>
      <c r="E25" s="12">
        <f>IFERROR((E13-D13)/D13,"")</f>
        <v>-0.43174443107746041</v>
      </c>
    </row>
    <row r="32" spans="1:5">
      <c r="A32">
        <v>7</v>
      </c>
      <c r="B32" t="s">
        <v>556</v>
      </c>
    </row>
    <row r="34" spans="1:5">
      <c r="B34" t="s">
        <v>559</v>
      </c>
    </row>
    <row r="35" spans="1:5">
      <c r="B35" t="s">
        <v>557</v>
      </c>
      <c r="C35" t="s">
        <v>560</v>
      </c>
      <c r="D35" t="s">
        <v>561</v>
      </c>
    </row>
    <row r="36" spans="1:5">
      <c r="B36" t="s">
        <v>558</v>
      </c>
      <c r="C36">
        <v>14125</v>
      </c>
      <c r="D36">
        <v>7.3</v>
      </c>
    </row>
    <row r="39" spans="1:5">
      <c r="A39" t="s">
        <v>563</v>
      </c>
    </row>
    <row r="41" spans="1:5">
      <c r="A41" t="s">
        <v>562</v>
      </c>
      <c r="B41" t="s">
        <v>564</v>
      </c>
    </row>
    <row r="44" spans="1:5">
      <c r="B44" s="13">
        <f ca="1">TODAY()</f>
        <v>45963</v>
      </c>
      <c r="C44" s="14">
        <f ca="1">YEAR(B44)-1</f>
        <v>2024</v>
      </c>
      <c r="D44">
        <v>12</v>
      </c>
      <c r="E44" s="9">
        <f>E13</f>
        <v>81788359484</v>
      </c>
    </row>
    <row r="45" spans="1:5">
      <c r="E45" s="9">
        <f>E19</f>
        <v>936999420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174"/>
  <sheetViews>
    <sheetView tabSelected="1" topLeftCell="A65" zoomScale="132" zoomScaleNormal="85" workbookViewId="0">
      <selection activeCell="E93" sqref="E93"/>
    </sheetView>
  </sheetViews>
  <sheetFormatPr baseColWidth="10" defaultColWidth="8.83203125" defaultRowHeight="17"/>
  <cols>
    <col min="2" max="2" width="8.1640625" bestFit="1" customWidth="1"/>
    <col min="3" max="3" width="28.33203125" bestFit="1" customWidth="1"/>
    <col min="4" max="4" width="26.1640625" bestFit="1" customWidth="1"/>
    <col min="5" max="5" width="47.5" bestFit="1" customWidth="1"/>
    <col min="6" max="6" width="11.5" bestFit="1" customWidth="1"/>
    <col min="18" max="18" width="11.5" bestFit="1" customWidth="1"/>
  </cols>
  <sheetData>
    <row r="1" spans="2:5">
      <c r="B1" t="s">
        <v>569</v>
      </c>
    </row>
    <row r="3" spans="2:5">
      <c r="B3">
        <v>1</v>
      </c>
      <c r="C3" t="s">
        <v>657</v>
      </c>
    </row>
    <row r="4" spans="2:5">
      <c r="D4" s="24" t="s">
        <v>654</v>
      </c>
    </row>
    <row r="5" spans="2:5">
      <c r="D5" t="s">
        <v>565</v>
      </c>
      <c r="E5" s="17" t="s">
        <v>594</v>
      </c>
    </row>
    <row r="6" spans="2:5">
      <c r="D6" t="s">
        <v>566</v>
      </c>
      <c r="E6" s="18" t="s">
        <v>595</v>
      </c>
    </row>
    <row r="7" spans="2:5">
      <c r="D7" t="s">
        <v>596</v>
      </c>
      <c r="E7" s="17" t="s">
        <v>598</v>
      </c>
    </row>
    <row r="8" spans="2:5">
      <c r="D8" t="s">
        <v>638</v>
      </c>
      <c r="E8" t="s">
        <v>601</v>
      </c>
    </row>
    <row r="9" spans="2:5">
      <c r="D9" t="s">
        <v>640</v>
      </c>
      <c r="E9" s="17" t="s">
        <v>641</v>
      </c>
    </row>
    <row r="10" spans="2:5">
      <c r="D10" t="s">
        <v>58</v>
      </c>
      <c r="E10" s="15">
        <v>7.8E-2</v>
      </c>
    </row>
    <row r="11" spans="2:5">
      <c r="D11" t="s">
        <v>639</v>
      </c>
      <c r="E11" t="s">
        <v>648</v>
      </c>
    </row>
    <row r="12" spans="2:5">
      <c r="D12" t="s">
        <v>567</v>
      </c>
      <c r="E12" t="s">
        <v>642</v>
      </c>
    </row>
    <row r="13" spans="2:5">
      <c r="D13" t="s">
        <v>83</v>
      </c>
      <c r="E13" t="s">
        <v>603</v>
      </c>
    </row>
    <row r="14" spans="2:5">
      <c r="D14" t="s">
        <v>568</v>
      </c>
      <c r="E14" t="s">
        <v>604</v>
      </c>
    </row>
    <row r="15" spans="2:5">
      <c r="D15" t="s">
        <v>643</v>
      </c>
      <c r="E15" s="17" t="s">
        <v>644</v>
      </c>
    </row>
    <row r="16" spans="2:5">
      <c r="D16" t="s">
        <v>645</v>
      </c>
      <c r="E16" s="17" t="s">
        <v>646</v>
      </c>
    </row>
    <row r="17" spans="2:7">
      <c r="D17" s="17" t="s">
        <v>602</v>
      </c>
      <c r="E17" s="17" t="s">
        <v>647</v>
      </c>
    </row>
    <row r="18" spans="2:7" ht="36">
      <c r="D18" s="22" t="s">
        <v>649</v>
      </c>
      <c r="E18" s="17" t="s">
        <v>650</v>
      </c>
    </row>
    <row r="19" spans="2:7">
      <c r="D19" s="17" t="s">
        <v>651</v>
      </c>
      <c r="E19" s="23">
        <v>0.01</v>
      </c>
    </row>
    <row r="20" spans="2:7">
      <c r="D20" s="17" t="s">
        <v>652</v>
      </c>
      <c r="E20" s="17" t="s">
        <v>653</v>
      </c>
    </row>
    <row r="21" spans="2:7" ht="216">
      <c r="D21" s="24" t="s">
        <v>655</v>
      </c>
      <c r="E21" s="22" t="s">
        <v>656</v>
      </c>
    </row>
    <row r="23" spans="2:7" ht="18" thickBot="1">
      <c r="D23" s="17" t="s">
        <v>658</v>
      </c>
    </row>
    <row r="24" spans="2:7" ht="60">
      <c r="D24" s="40" t="s">
        <v>557</v>
      </c>
      <c r="E24" s="37" t="s">
        <v>670</v>
      </c>
      <c r="F24" s="28" t="s">
        <v>671</v>
      </c>
      <c r="G24" s="36" t="s">
        <v>660</v>
      </c>
    </row>
    <row r="25" spans="2:7">
      <c r="D25" s="41" t="s">
        <v>673</v>
      </c>
      <c r="E25" s="38" t="s">
        <v>622</v>
      </c>
      <c r="F25" s="29" t="s">
        <v>622</v>
      </c>
      <c r="G25" s="30" t="s">
        <v>15</v>
      </c>
    </row>
    <row r="26" spans="2:7" ht="45">
      <c r="D26" s="41" t="s">
        <v>674</v>
      </c>
      <c r="E26" s="38" t="s">
        <v>661</v>
      </c>
      <c r="F26" s="29" t="s">
        <v>662</v>
      </c>
      <c r="G26" s="30" t="s">
        <v>663</v>
      </c>
    </row>
    <row r="27" spans="2:7" ht="45">
      <c r="D27" s="41" t="s">
        <v>675</v>
      </c>
      <c r="E27" s="38" t="s">
        <v>664</v>
      </c>
      <c r="F27" s="29" t="s">
        <v>665</v>
      </c>
      <c r="G27" s="31" t="s">
        <v>666</v>
      </c>
    </row>
    <row r="28" spans="2:7">
      <c r="D28" s="41" t="s">
        <v>676</v>
      </c>
      <c r="E28" s="38" t="s">
        <v>667</v>
      </c>
      <c r="F28" s="29" t="s">
        <v>668</v>
      </c>
      <c r="G28" s="30" t="s">
        <v>15</v>
      </c>
    </row>
    <row r="29" spans="2:7">
      <c r="D29" s="41" t="s">
        <v>677</v>
      </c>
      <c r="E29" s="38" t="s">
        <v>624</v>
      </c>
      <c r="F29" s="29" t="s">
        <v>668</v>
      </c>
      <c r="G29" s="30" t="s">
        <v>15</v>
      </c>
    </row>
    <row r="30" spans="2:7" ht="80" customHeight="1">
      <c r="D30" s="41" t="s">
        <v>678</v>
      </c>
      <c r="E30" s="39" t="s">
        <v>679</v>
      </c>
      <c r="F30" s="35" t="s">
        <v>669</v>
      </c>
      <c r="G30" s="34" t="s">
        <v>15</v>
      </c>
    </row>
    <row r="32" spans="2:7" ht="360">
      <c r="B32">
        <v>2</v>
      </c>
      <c r="C32" s="22" t="s">
        <v>680</v>
      </c>
    </row>
    <row r="33" spans="3:25" ht="18" thickBot="1">
      <c r="C33" t="s">
        <v>689</v>
      </c>
      <c r="F33" s="15"/>
    </row>
    <row r="34" spans="3:25">
      <c r="D34" s="42" t="s">
        <v>659</v>
      </c>
      <c r="E34" s="43" t="s">
        <v>681</v>
      </c>
    </row>
    <row r="35" spans="3:25">
      <c r="D35" s="44"/>
      <c r="E35" s="45" t="s">
        <v>682</v>
      </c>
    </row>
    <row r="36" spans="3:25">
      <c r="D36" s="46" t="s">
        <v>683</v>
      </c>
      <c r="E36" s="47" t="s">
        <v>684</v>
      </c>
    </row>
    <row r="37" spans="3:25">
      <c r="D37" s="46"/>
      <c r="E37" s="47" t="s">
        <v>685</v>
      </c>
    </row>
    <row r="38" spans="3:25">
      <c r="D38" s="46" t="s">
        <v>686</v>
      </c>
      <c r="E38" s="48" t="s">
        <v>687</v>
      </c>
    </row>
    <row r="39" spans="3:25" ht="18" thickBot="1">
      <c r="D39" s="49"/>
      <c r="E39" s="50" t="s">
        <v>688</v>
      </c>
    </row>
    <row r="41" spans="3:25" ht="18" thickBot="1">
      <c r="D41" s="51" t="s">
        <v>690</v>
      </c>
      <c r="E41" s="52" t="s">
        <v>691</v>
      </c>
    </row>
    <row r="42" spans="3:25" ht="30">
      <c r="D42" s="42" t="s">
        <v>672</v>
      </c>
      <c r="E42" s="53" t="s">
        <v>692</v>
      </c>
      <c r="F42" s="53" t="s">
        <v>693</v>
      </c>
      <c r="G42" s="86" t="s">
        <v>387</v>
      </c>
      <c r="H42" s="85"/>
      <c r="I42" s="85"/>
      <c r="J42" s="87"/>
      <c r="K42" s="89" t="s">
        <v>383</v>
      </c>
      <c r="L42" s="88"/>
      <c r="M42" s="90"/>
      <c r="N42" s="92" t="s">
        <v>50</v>
      </c>
      <c r="O42" s="91"/>
      <c r="P42" s="91"/>
      <c r="Q42" s="93"/>
      <c r="R42" s="53" t="s">
        <v>380</v>
      </c>
      <c r="S42" s="54" t="s">
        <v>694</v>
      </c>
      <c r="T42" s="54" t="s">
        <v>695</v>
      </c>
      <c r="U42" s="92" t="s">
        <v>696</v>
      </c>
      <c r="V42" s="94"/>
      <c r="W42" s="96"/>
      <c r="X42" s="95"/>
      <c r="Y42" s="95"/>
    </row>
    <row r="43" spans="3:25">
      <c r="D43" s="55"/>
      <c r="E43" s="27" t="s">
        <v>698</v>
      </c>
      <c r="F43" s="58">
        <v>42613</v>
      </c>
      <c r="G43" s="97">
        <v>43220</v>
      </c>
      <c r="H43" s="98"/>
      <c r="I43" s="98"/>
      <c r="J43" s="99"/>
      <c r="K43" s="100">
        <v>7.6999999999999999E-2</v>
      </c>
      <c r="L43" s="101"/>
      <c r="M43" s="102"/>
      <c r="N43" s="103">
        <v>1000000000</v>
      </c>
      <c r="O43" s="104"/>
      <c r="P43" s="104"/>
      <c r="Q43" s="105"/>
      <c r="R43" s="65" t="s">
        <v>699</v>
      </c>
      <c r="S43" s="66"/>
      <c r="T43" s="66"/>
      <c r="U43" s="66"/>
      <c r="V43" s="67"/>
      <c r="W43" s="96"/>
      <c r="X43" s="95"/>
      <c r="Y43" s="95"/>
    </row>
    <row r="44" spans="3:25">
      <c r="D44" s="55"/>
      <c r="E44" s="27" t="s">
        <v>700</v>
      </c>
      <c r="F44" s="58">
        <v>42685</v>
      </c>
      <c r="G44" s="97">
        <v>43415</v>
      </c>
      <c r="H44" s="98"/>
      <c r="I44" s="98"/>
      <c r="J44" s="99"/>
      <c r="K44" s="100">
        <v>7.5999999999999998E-2</v>
      </c>
      <c r="L44" s="101"/>
      <c r="M44" s="102"/>
      <c r="N44" s="103">
        <v>500000000</v>
      </c>
      <c r="O44" s="104"/>
      <c r="P44" s="104"/>
      <c r="Q44" s="105"/>
      <c r="R44" s="65" t="s">
        <v>699</v>
      </c>
      <c r="S44" s="66"/>
      <c r="T44" s="66"/>
      <c r="U44" s="66"/>
      <c r="V44" s="67"/>
      <c r="W44" s="96"/>
      <c r="X44" s="95"/>
      <c r="Y44" s="95"/>
    </row>
    <row r="45" spans="3:25">
      <c r="D45" s="55"/>
      <c r="E45" s="27" t="s">
        <v>701</v>
      </c>
      <c r="F45" s="58">
        <v>42691</v>
      </c>
      <c r="G45" s="97">
        <v>43421</v>
      </c>
      <c r="H45" s="98"/>
      <c r="I45" s="98"/>
      <c r="J45" s="99"/>
      <c r="K45" s="100">
        <v>7.5999999999999998E-2</v>
      </c>
      <c r="L45" s="101"/>
      <c r="M45" s="102"/>
      <c r="N45" s="103">
        <v>1000000000</v>
      </c>
      <c r="O45" s="104"/>
      <c r="P45" s="104"/>
      <c r="Q45" s="105"/>
      <c r="R45" s="65" t="s">
        <v>699</v>
      </c>
      <c r="S45" s="66"/>
      <c r="T45" s="66"/>
      <c r="U45" s="66"/>
      <c r="V45" s="67"/>
      <c r="W45" s="96"/>
      <c r="X45" s="95"/>
      <c r="Y45" s="95"/>
    </row>
    <row r="46" spans="3:25">
      <c r="D46" s="32" t="s">
        <v>697</v>
      </c>
      <c r="E46" s="27" t="s">
        <v>702</v>
      </c>
      <c r="F46" s="58">
        <v>43616</v>
      </c>
      <c r="G46" s="97">
        <v>44227</v>
      </c>
      <c r="H46" s="98"/>
      <c r="I46" s="98"/>
      <c r="J46" s="99"/>
      <c r="K46" s="100">
        <v>7.1999999999999995E-2</v>
      </c>
      <c r="L46" s="101"/>
      <c r="M46" s="102"/>
      <c r="N46" s="103">
        <v>1000000000</v>
      </c>
      <c r="O46" s="104"/>
      <c r="P46" s="104"/>
      <c r="Q46" s="105"/>
      <c r="R46" s="65" t="s">
        <v>699</v>
      </c>
      <c r="S46" s="66"/>
      <c r="T46" s="66"/>
      <c r="U46" s="66"/>
      <c r="V46" s="67"/>
      <c r="W46" s="96"/>
      <c r="X46" s="95"/>
      <c r="Y46" s="95"/>
    </row>
    <row r="47" spans="3:25">
      <c r="D47" s="56"/>
      <c r="E47" s="27" t="s">
        <v>703</v>
      </c>
      <c r="F47" s="58">
        <v>43830</v>
      </c>
      <c r="G47" s="97">
        <v>44439</v>
      </c>
      <c r="H47" s="98"/>
      <c r="I47" s="98"/>
      <c r="J47" s="99"/>
      <c r="K47" s="100">
        <v>6.8000000000000005E-2</v>
      </c>
      <c r="L47" s="101"/>
      <c r="M47" s="102"/>
      <c r="N47" s="103">
        <v>2000000000</v>
      </c>
      <c r="O47" s="104"/>
      <c r="P47" s="104"/>
      <c r="Q47" s="105"/>
      <c r="R47" s="65" t="s">
        <v>699</v>
      </c>
      <c r="S47" s="66"/>
      <c r="T47" s="66"/>
      <c r="U47" s="66"/>
      <c r="V47" s="67"/>
      <c r="W47" s="96"/>
      <c r="X47" s="95"/>
      <c r="Y47" s="95"/>
    </row>
    <row r="48" spans="3:25">
      <c r="D48" s="56"/>
      <c r="E48" s="27" t="s">
        <v>704</v>
      </c>
      <c r="F48" s="58">
        <v>43872</v>
      </c>
      <c r="G48" s="97">
        <v>44480</v>
      </c>
      <c r="H48" s="98"/>
      <c r="I48" s="98"/>
      <c r="J48" s="99"/>
      <c r="K48" s="100">
        <v>6.5000000000000002E-2</v>
      </c>
      <c r="L48" s="101"/>
      <c r="M48" s="102"/>
      <c r="N48" s="103">
        <v>1000000000</v>
      </c>
      <c r="O48" s="104"/>
      <c r="P48" s="104"/>
      <c r="Q48" s="105"/>
      <c r="R48" s="65" t="s">
        <v>699</v>
      </c>
      <c r="S48" s="66"/>
      <c r="T48" s="66"/>
      <c r="U48" s="66"/>
      <c r="V48" s="67"/>
      <c r="W48" s="96"/>
      <c r="X48" s="95"/>
      <c r="Y48" s="95"/>
    </row>
    <row r="49" spans="4:25">
      <c r="D49" s="56"/>
      <c r="E49" s="27" t="s">
        <v>705</v>
      </c>
      <c r="F49" s="58">
        <v>44006</v>
      </c>
      <c r="G49" s="97">
        <v>44616</v>
      </c>
      <c r="H49" s="98"/>
      <c r="I49" s="98"/>
      <c r="J49" s="99"/>
      <c r="K49" s="100">
        <v>6.3E-2</v>
      </c>
      <c r="L49" s="101"/>
      <c r="M49" s="102"/>
      <c r="N49" s="103">
        <v>2000000000</v>
      </c>
      <c r="O49" s="104"/>
      <c r="P49" s="104"/>
      <c r="Q49" s="105"/>
      <c r="R49" s="65" t="s">
        <v>699</v>
      </c>
      <c r="S49" s="66"/>
      <c r="T49" s="66"/>
      <c r="U49" s="66"/>
      <c r="V49" s="67"/>
      <c r="W49" s="96"/>
      <c r="X49" s="95"/>
      <c r="Y49" s="95"/>
    </row>
    <row r="50" spans="4:25">
      <c r="D50" s="56"/>
      <c r="E50" s="27" t="s">
        <v>706</v>
      </c>
      <c r="F50" s="58">
        <v>44165</v>
      </c>
      <c r="G50" s="97">
        <v>44772</v>
      </c>
      <c r="H50" s="98"/>
      <c r="I50" s="98"/>
      <c r="J50" s="99"/>
      <c r="K50" s="100">
        <v>6.0999999999999999E-2</v>
      </c>
      <c r="L50" s="101"/>
      <c r="M50" s="102"/>
      <c r="N50" s="103">
        <v>1000000000</v>
      </c>
      <c r="O50" s="104"/>
      <c r="P50" s="104"/>
      <c r="Q50" s="105"/>
      <c r="R50" s="65" t="s">
        <v>699</v>
      </c>
      <c r="S50" s="66"/>
      <c r="T50" s="66"/>
      <c r="U50" s="66"/>
      <c r="V50" s="67"/>
      <c r="W50" s="96"/>
      <c r="X50" s="95"/>
      <c r="Y50" s="95"/>
    </row>
    <row r="51" spans="4:25">
      <c r="D51" s="56"/>
      <c r="E51" s="27" t="s">
        <v>707</v>
      </c>
      <c r="F51" s="58">
        <v>44337</v>
      </c>
      <c r="G51" s="97">
        <v>44947</v>
      </c>
      <c r="H51" s="98"/>
      <c r="I51" s="98"/>
      <c r="J51" s="99"/>
      <c r="K51" s="100">
        <v>5.6000000000000001E-2</v>
      </c>
      <c r="L51" s="101"/>
      <c r="M51" s="102"/>
      <c r="N51" s="103">
        <v>2000000000</v>
      </c>
      <c r="O51" s="104"/>
      <c r="P51" s="104"/>
      <c r="Q51" s="105"/>
      <c r="R51" s="65" t="s">
        <v>699</v>
      </c>
      <c r="S51" s="66"/>
      <c r="T51" s="66"/>
      <c r="U51" s="66"/>
      <c r="V51" s="67"/>
      <c r="W51" s="96"/>
      <c r="X51" s="95"/>
      <c r="Y51" s="95"/>
    </row>
    <row r="52" spans="4:25">
      <c r="D52" s="56"/>
      <c r="E52" s="27" t="s">
        <v>708</v>
      </c>
      <c r="F52" s="58">
        <v>44620</v>
      </c>
      <c r="G52" s="97">
        <v>45227</v>
      </c>
      <c r="H52" s="98"/>
      <c r="I52" s="98"/>
      <c r="J52" s="99"/>
      <c r="K52" s="100">
        <v>5.5E-2</v>
      </c>
      <c r="L52" s="101"/>
      <c r="M52" s="102"/>
      <c r="N52" s="103">
        <v>2500000000</v>
      </c>
      <c r="O52" s="104"/>
      <c r="P52" s="104"/>
      <c r="Q52" s="105"/>
      <c r="R52" s="65" t="s">
        <v>699</v>
      </c>
      <c r="S52" s="66"/>
      <c r="T52" s="66"/>
      <c r="U52" s="66"/>
      <c r="V52" s="67"/>
      <c r="W52" s="96"/>
      <c r="X52" s="95"/>
      <c r="Y52" s="95"/>
    </row>
    <row r="53" spans="4:25">
      <c r="D53" s="56"/>
      <c r="E53" s="27" t="s">
        <v>709</v>
      </c>
      <c r="F53" s="58">
        <v>45145</v>
      </c>
      <c r="G53" s="97">
        <v>45387</v>
      </c>
      <c r="H53" s="98"/>
      <c r="I53" s="98"/>
      <c r="J53" s="99"/>
      <c r="K53" s="100">
        <v>8.5000000000000006E-2</v>
      </c>
      <c r="L53" s="101"/>
      <c r="M53" s="102"/>
      <c r="N53" s="103">
        <v>1000000000</v>
      </c>
      <c r="O53" s="104"/>
      <c r="P53" s="104"/>
      <c r="Q53" s="105"/>
      <c r="R53" s="65" t="s">
        <v>699</v>
      </c>
      <c r="S53" s="66"/>
      <c r="T53" s="66"/>
      <c r="U53" s="66"/>
      <c r="V53" s="68"/>
      <c r="W53" s="106"/>
      <c r="X53" s="95"/>
      <c r="Y53" s="95"/>
    </row>
    <row r="54" spans="4:25">
      <c r="D54" s="56"/>
      <c r="E54" s="27" t="s">
        <v>710</v>
      </c>
      <c r="F54" s="58">
        <v>45167</v>
      </c>
      <c r="G54" s="97">
        <v>45411</v>
      </c>
      <c r="H54" s="98"/>
      <c r="I54" s="98"/>
      <c r="J54" s="99"/>
      <c r="K54" s="100">
        <v>8.5000000000000006E-2</v>
      </c>
      <c r="L54" s="101"/>
      <c r="M54" s="102"/>
      <c r="N54" s="103">
        <v>2000000000</v>
      </c>
      <c r="O54" s="104"/>
      <c r="P54" s="104"/>
      <c r="Q54" s="105"/>
      <c r="R54" s="65" t="s">
        <v>699</v>
      </c>
      <c r="S54" s="66"/>
      <c r="T54" s="66"/>
      <c r="U54" s="66"/>
      <c r="V54" s="67"/>
      <c r="W54" s="96"/>
      <c r="X54" s="95"/>
      <c r="Y54" s="95"/>
    </row>
    <row r="55" spans="4:25">
      <c r="D55" s="56"/>
      <c r="E55" s="27" t="s">
        <v>711</v>
      </c>
      <c r="F55" s="58">
        <v>45147</v>
      </c>
      <c r="G55" s="97">
        <v>45756</v>
      </c>
      <c r="H55" s="98"/>
      <c r="I55" s="98"/>
      <c r="J55" s="99"/>
      <c r="K55" s="100">
        <v>8.5000000000000006E-2</v>
      </c>
      <c r="L55" s="101"/>
      <c r="M55" s="102"/>
      <c r="N55" s="103">
        <v>3000000000</v>
      </c>
      <c r="O55" s="104"/>
      <c r="P55" s="104"/>
      <c r="Q55" s="105"/>
      <c r="R55" s="65" t="s">
        <v>699</v>
      </c>
      <c r="S55" s="66"/>
      <c r="T55" s="66"/>
      <c r="U55" s="66"/>
      <c r="V55" s="67"/>
      <c r="W55" s="96"/>
      <c r="X55" s="95"/>
      <c r="Y55" s="95"/>
    </row>
    <row r="56" spans="4:25">
      <c r="D56" s="56"/>
      <c r="E56" s="27" t="s">
        <v>712</v>
      </c>
      <c r="F56" s="58">
        <v>45470</v>
      </c>
      <c r="G56" s="97">
        <v>46080</v>
      </c>
      <c r="H56" s="98"/>
      <c r="I56" s="98"/>
      <c r="J56" s="99"/>
      <c r="K56" s="100">
        <v>7.8E-2</v>
      </c>
      <c r="L56" s="101"/>
      <c r="M56" s="102"/>
      <c r="N56" s="103">
        <v>2000000000</v>
      </c>
      <c r="O56" s="104"/>
      <c r="P56" s="104"/>
      <c r="Q56" s="105"/>
      <c r="R56" s="59">
        <v>2000000000</v>
      </c>
      <c r="S56" s="60">
        <v>1.3</v>
      </c>
      <c r="T56" s="61">
        <v>1.3360000000000001</v>
      </c>
      <c r="U56" s="107">
        <v>2672301653</v>
      </c>
      <c r="V56" s="108"/>
      <c r="W56" s="96"/>
      <c r="X56" s="95"/>
      <c r="Y56" s="95"/>
    </row>
    <row r="57" spans="4:25" ht="18" thickBot="1">
      <c r="D57" s="57"/>
      <c r="E57" s="69" t="s">
        <v>713</v>
      </c>
      <c r="F57" s="70"/>
      <c r="G57" s="70"/>
      <c r="H57" s="70"/>
      <c r="I57" s="70"/>
      <c r="J57" s="70"/>
      <c r="K57" s="70"/>
      <c r="L57" s="70"/>
      <c r="M57" s="71"/>
      <c r="N57" s="109">
        <v>22000000000</v>
      </c>
      <c r="O57" s="110"/>
      <c r="P57" s="110"/>
      <c r="Q57" s="111"/>
      <c r="R57" s="62">
        <v>2000000000</v>
      </c>
      <c r="S57" s="63" t="s">
        <v>15</v>
      </c>
      <c r="T57" s="63" t="s">
        <v>15</v>
      </c>
      <c r="U57" s="112">
        <v>2672301653</v>
      </c>
      <c r="V57" s="113"/>
      <c r="W57" s="96"/>
      <c r="X57" s="95"/>
      <c r="Y57" s="95"/>
    </row>
    <row r="58" spans="4:25">
      <c r="D58" s="55"/>
      <c r="E58" s="27" t="s">
        <v>698</v>
      </c>
      <c r="F58" s="58">
        <v>41864</v>
      </c>
      <c r="G58" s="114">
        <v>42413</v>
      </c>
      <c r="H58" s="115"/>
      <c r="I58" s="115"/>
      <c r="J58" s="116"/>
      <c r="K58" s="117">
        <v>0.1</v>
      </c>
      <c r="L58" s="118"/>
      <c r="M58" s="119"/>
      <c r="N58" s="120">
        <v>2000000000</v>
      </c>
      <c r="O58" s="121"/>
      <c r="P58" s="121"/>
      <c r="Q58" s="122"/>
      <c r="R58" s="72" t="s">
        <v>699</v>
      </c>
      <c r="S58" s="73"/>
      <c r="T58" s="73"/>
      <c r="U58" s="73"/>
      <c r="V58" s="74"/>
      <c r="W58" s="96"/>
      <c r="X58" s="95"/>
      <c r="Y58" s="95"/>
    </row>
    <row r="59" spans="4:25">
      <c r="D59" s="55"/>
      <c r="E59" s="27" t="s">
        <v>700</v>
      </c>
      <c r="F59" s="58">
        <v>41912</v>
      </c>
      <c r="G59" s="97">
        <v>42459</v>
      </c>
      <c r="H59" s="98"/>
      <c r="I59" s="98"/>
      <c r="J59" s="99"/>
      <c r="K59" s="123">
        <v>9.8000000000000004E-2</v>
      </c>
      <c r="L59" s="124"/>
      <c r="M59" s="125"/>
      <c r="N59" s="103">
        <v>1000000000</v>
      </c>
      <c r="O59" s="104"/>
      <c r="P59" s="104"/>
      <c r="Q59" s="105"/>
      <c r="R59" s="65" t="s">
        <v>699</v>
      </c>
      <c r="S59" s="66"/>
      <c r="T59" s="66"/>
      <c r="U59" s="66"/>
      <c r="V59" s="67"/>
      <c r="W59" s="96"/>
      <c r="X59" s="95"/>
      <c r="Y59" s="95"/>
    </row>
    <row r="60" spans="4:25">
      <c r="D60" s="55"/>
      <c r="E60" s="27" t="s">
        <v>701</v>
      </c>
      <c r="F60" s="58">
        <v>41963</v>
      </c>
      <c r="G60" s="97">
        <v>42510</v>
      </c>
      <c r="H60" s="98"/>
      <c r="I60" s="98"/>
      <c r="J60" s="99"/>
      <c r="K60" s="123">
        <v>9.5000000000000001E-2</v>
      </c>
      <c r="L60" s="124"/>
      <c r="M60" s="125"/>
      <c r="N60" s="103">
        <v>1000000000</v>
      </c>
      <c r="O60" s="104"/>
      <c r="P60" s="104"/>
      <c r="Q60" s="105"/>
      <c r="R60" s="65" t="s">
        <v>699</v>
      </c>
      <c r="S60" s="66"/>
      <c r="T60" s="66"/>
      <c r="U60" s="66"/>
      <c r="V60" s="67"/>
      <c r="W60" s="96"/>
      <c r="X60" s="95"/>
      <c r="Y60" s="95"/>
    </row>
    <row r="61" spans="4:25">
      <c r="D61" s="55"/>
      <c r="E61" s="27" t="s">
        <v>702</v>
      </c>
      <c r="F61" s="58">
        <v>42124</v>
      </c>
      <c r="G61" s="97">
        <v>42673</v>
      </c>
      <c r="H61" s="98"/>
      <c r="I61" s="98"/>
      <c r="J61" s="99"/>
      <c r="K61" s="123">
        <v>8.3000000000000004E-2</v>
      </c>
      <c r="L61" s="124"/>
      <c r="M61" s="125"/>
      <c r="N61" s="103">
        <v>2000000000</v>
      </c>
      <c r="O61" s="104"/>
      <c r="P61" s="104"/>
      <c r="Q61" s="105"/>
      <c r="R61" s="65" t="s">
        <v>699</v>
      </c>
      <c r="S61" s="66"/>
      <c r="T61" s="66"/>
      <c r="U61" s="66"/>
      <c r="V61" s="67"/>
      <c r="W61" s="96"/>
      <c r="X61" s="95"/>
      <c r="Y61" s="95"/>
    </row>
    <row r="62" spans="4:25">
      <c r="D62" s="55"/>
      <c r="E62" s="27" t="s">
        <v>703</v>
      </c>
      <c r="F62" s="58">
        <v>42207</v>
      </c>
      <c r="G62" s="97">
        <v>42757</v>
      </c>
      <c r="H62" s="98"/>
      <c r="I62" s="98"/>
      <c r="J62" s="99"/>
      <c r="K62" s="123">
        <v>0.08</v>
      </c>
      <c r="L62" s="124"/>
      <c r="M62" s="125"/>
      <c r="N62" s="103">
        <v>1000000000</v>
      </c>
      <c r="O62" s="104"/>
      <c r="P62" s="104"/>
      <c r="Q62" s="105"/>
      <c r="R62" s="65" t="s">
        <v>699</v>
      </c>
      <c r="S62" s="66"/>
      <c r="T62" s="66"/>
      <c r="U62" s="66"/>
      <c r="V62" s="67"/>
      <c r="W62" s="96"/>
      <c r="X62" s="95"/>
      <c r="Y62" s="95"/>
    </row>
    <row r="63" spans="4:25">
      <c r="D63" s="55"/>
      <c r="E63" s="27" t="s">
        <v>704</v>
      </c>
      <c r="F63" s="58">
        <v>42268</v>
      </c>
      <c r="G63" s="97">
        <v>42815</v>
      </c>
      <c r="H63" s="98"/>
      <c r="I63" s="98"/>
      <c r="J63" s="99"/>
      <c r="K63" s="123">
        <v>7.6999999999999999E-2</v>
      </c>
      <c r="L63" s="124"/>
      <c r="M63" s="125"/>
      <c r="N63" s="103">
        <v>1000000000</v>
      </c>
      <c r="O63" s="104"/>
      <c r="P63" s="104"/>
      <c r="Q63" s="105"/>
      <c r="R63" s="65" t="s">
        <v>699</v>
      </c>
      <c r="S63" s="66"/>
      <c r="T63" s="66"/>
      <c r="U63" s="66"/>
      <c r="V63" s="67"/>
      <c r="W63" s="96"/>
      <c r="X63" s="95"/>
      <c r="Y63" s="95"/>
    </row>
    <row r="64" spans="4:25">
      <c r="D64" s="55"/>
      <c r="E64" s="27" t="s">
        <v>705</v>
      </c>
      <c r="F64" s="58">
        <v>42369</v>
      </c>
      <c r="G64" s="97">
        <v>42916</v>
      </c>
      <c r="H64" s="98"/>
      <c r="I64" s="98"/>
      <c r="J64" s="99"/>
      <c r="K64" s="123">
        <v>7.5999999999999998E-2</v>
      </c>
      <c r="L64" s="124"/>
      <c r="M64" s="125"/>
      <c r="N64" s="103">
        <v>1000000000</v>
      </c>
      <c r="O64" s="104"/>
      <c r="P64" s="104"/>
      <c r="Q64" s="105"/>
      <c r="R64" s="65" t="s">
        <v>699</v>
      </c>
      <c r="S64" s="66"/>
      <c r="T64" s="66"/>
      <c r="U64" s="66"/>
      <c r="V64" s="67"/>
      <c r="W64" s="96"/>
      <c r="X64" s="95"/>
      <c r="Y64" s="95"/>
    </row>
    <row r="65" spans="4:25">
      <c r="D65" s="55"/>
      <c r="E65" s="27" t="s">
        <v>706</v>
      </c>
      <c r="F65" s="58">
        <v>42439</v>
      </c>
      <c r="G65" s="97">
        <v>42988</v>
      </c>
      <c r="H65" s="98"/>
      <c r="I65" s="98"/>
      <c r="J65" s="99"/>
      <c r="K65" s="123">
        <v>7.4999999999999997E-2</v>
      </c>
      <c r="L65" s="124"/>
      <c r="M65" s="125"/>
      <c r="N65" s="103">
        <v>2000000000</v>
      </c>
      <c r="O65" s="104"/>
      <c r="P65" s="104"/>
      <c r="Q65" s="105"/>
      <c r="R65" s="65" t="s">
        <v>699</v>
      </c>
      <c r="S65" s="66"/>
      <c r="T65" s="66"/>
      <c r="U65" s="66"/>
      <c r="V65" s="67"/>
      <c r="W65" s="96"/>
      <c r="X65" s="95"/>
      <c r="Y65" s="95"/>
    </row>
    <row r="66" spans="4:25">
      <c r="D66" s="32" t="s">
        <v>714</v>
      </c>
      <c r="E66" s="27" t="s">
        <v>707</v>
      </c>
      <c r="F66" s="58">
        <v>42551</v>
      </c>
      <c r="G66" s="97">
        <v>43099</v>
      </c>
      <c r="H66" s="98"/>
      <c r="I66" s="98"/>
      <c r="J66" s="99"/>
      <c r="K66" s="123">
        <v>7.3999999999999996E-2</v>
      </c>
      <c r="L66" s="124"/>
      <c r="M66" s="125"/>
      <c r="N66" s="103">
        <v>1000000000</v>
      </c>
      <c r="O66" s="104"/>
      <c r="P66" s="104"/>
      <c r="Q66" s="105"/>
      <c r="R66" s="65" t="s">
        <v>699</v>
      </c>
      <c r="S66" s="66"/>
      <c r="T66" s="66"/>
      <c r="U66" s="66"/>
      <c r="V66" s="67"/>
      <c r="W66" s="96"/>
      <c r="X66" s="95"/>
      <c r="Y66" s="95"/>
    </row>
    <row r="67" spans="4:25">
      <c r="D67" s="56"/>
      <c r="E67" s="27" t="s">
        <v>708</v>
      </c>
      <c r="F67" s="58">
        <v>42625</v>
      </c>
      <c r="G67" s="97">
        <v>43171</v>
      </c>
      <c r="H67" s="98"/>
      <c r="I67" s="98"/>
      <c r="J67" s="99"/>
      <c r="K67" s="123">
        <v>7.2999999999999995E-2</v>
      </c>
      <c r="L67" s="124"/>
      <c r="M67" s="125"/>
      <c r="N67" s="103">
        <v>1000000000</v>
      </c>
      <c r="O67" s="104"/>
      <c r="P67" s="104"/>
      <c r="Q67" s="105"/>
      <c r="R67" s="65" t="s">
        <v>699</v>
      </c>
      <c r="S67" s="66"/>
      <c r="T67" s="66"/>
      <c r="U67" s="66"/>
      <c r="V67" s="67"/>
      <c r="W67" s="96"/>
      <c r="X67" s="95"/>
      <c r="Y67" s="95"/>
    </row>
    <row r="68" spans="4:25">
      <c r="D68" s="56"/>
      <c r="E68" s="27" t="s">
        <v>709</v>
      </c>
      <c r="F68" s="58">
        <v>42641</v>
      </c>
      <c r="G68" s="97">
        <v>43187</v>
      </c>
      <c r="H68" s="98"/>
      <c r="I68" s="98"/>
      <c r="J68" s="99"/>
      <c r="K68" s="123">
        <v>7.2999999999999995E-2</v>
      </c>
      <c r="L68" s="124"/>
      <c r="M68" s="125"/>
      <c r="N68" s="103">
        <v>1000000000</v>
      </c>
      <c r="O68" s="104"/>
      <c r="P68" s="104"/>
      <c r="Q68" s="105"/>
      <c r="R68" s="65" t="s">
        <v>699</v>
      </c>
      <c r="S68" s="66"/>
      <c r="T68" s="66"/>
      <c r="U68" s="66"/>
      <c r="V68" s="67"/>
      <c r="W68" s="96"/>
      <c r="X68" s="95"/>
      <c r="Y68" s="95"/>
    </row>
    <row r="69" spans="4:25">
      <c r="D69" s="56"/>
      <c r="E69" s="27" t="s">
        <v>710</v>
      </c>
      <c r="F69" s="58">
        <v>42752</v>
      </c>
      <c r="G69" s="97">
        <v>43482</v>
      </c>
      <c r="H69" s="98"/>
      <c r="I69" s="98"/>
      <c r="J69" s="99"/>
      <c r="K69" s="123">
        <v>7.1999999999999995E-2</v>
      </c>
      <c r="L69" s="124"/>
      <c r="M69" s="125"/>
      <c r="N69" s="103">
        <v>1000000000</v>
      </c>
      <c r="O69" s="104"/>
      <c r="P69" s="104"/>
      <c r="Q69" s="105"/>
      <c r="R69" s="65" t="s">
        <v>699</v>
      </c>
      <c r="S69" s="66"/>
      <c r="T69" s="66"/>
      <c r="U69" s="66"/>
      <c r="V69" s="67"/>
      <c r="W69" s="96"/>
      <c r="X69" s="95"/>
      <c r="Y69" s="95"/>
    </row>
    <row r="70" spans="4:25">
      <c r="D70" s="56"/>
      <c r="E70" s="27" t="s">
        <v>711</v>
      </c>
      <c r="F70" s="58">
        <v>42761</v>
      </c>
      <c r="G70" s="97">
        <v>43491</v>
      </c>
      <c r="H70" s="98"/>
      <c r="I70" s="98"/>
      <c r="J70" s="99"/>
      <c r="K70" s="123">
        <v>7.1999999999999995E-2</v>
      </c>
      <c r="L70" s="124"/>
      <c r="M70" s="125"/>
      <c r="N70" s="103">
        <v>1000000000</v>
      </c>
      <c r="O70" s="104"/>
      <c r="P70" s="104"/>
      <c r="Q70" s="105"/>
      <c r="R70" s="65" t="s">
        <v>699</v>
      </c>
      <c r="S70" s="66"/>
      <c r="T70" s="66"/>
      <c r="U70" s="66"/>
      <c r="V70" s="67"/>
      <c r="W70" s="96"/>
      <c r="X70" s="95"/>
      <c r="Y70" s="95"/>
    </row>
    <row r="71" spans="4:25">
      <c r="D71" s="56"/>
      <c r="E71" s="27" t="s">
        <v>712</v>
      </c>
      <c r="F71" s="58">
        <v>42853</v>
      </c>
      <c r="G71" s="97">
        <v>43462</v>
      </c>
      <c r="H71" s="98"/>
      <c r="I71" s="98"/>
      <c r="J71" s="99"/>
      <c r="K71" s="123">
        <v>6.9000000000000006E-2</v>
      </c>
      <c r="L71" s="124"/>
      <c r="M71" s="125"/>
      <c r="N71" s="103">
        <v>1500000000</v>
      </c>
      <c r="O71" s="104"/>
      <c r="P71" s="104"/>
      <c r="Q71" s="105"/>
      <c r="R71" s="65" t="s">
        <v>699</v>
      </c>
      <c r="S71" s="66"/>
      <c r="T71" s="66"/>
      <c r="U71" s="66"/>
      <c r="V71" s="67"/>
      <c r="W71" s="96"/>
      <c r="X71" s="95"/>
      <c r="Y71" s="95"/>
    </row>
    <row r="72" spans="4:25">
      <c r="D72" s="56"/>
      <c r="E72" s="27" t="s">
        <v>715</v>
      </c>
      <c r="F72" s="58">
        <v>42857</v>
      </c>
      <c r="G72" s="97">
        <v>43467</v>
      </c>
      <c r="H72" s="98"/>
      <c r="I72" s="98"/>
      <c r="J72" s="99"/>
      <c r="K72" s="123">
        <v>6.9000000000000006E-2</v>
      </c>
      <c r="L72" s="124"/>
      <c r="M72" s="125"/>
      <c r="N72" s="103">
        <v>500000000</v>
      </c>
      <c r="O72" s="104"/>
      <c r="P72" s="104"/>
      <c r="Q72" s="105"/>
      <c r="R72" s="65" t="s">
        <v>699</v>
      </c>
      <c r="S72" s="66"/>
      <c r="T72" s="66"/>
      <c r="U72" s="66"/>
      <c r="V72" s="67"/>
      <c r="W72" s="96"/>
      <c r="X72" s="95"/>
      <c r="Y72" s="95"/>
    </row>
    <row r="73" spans="4:25">
      <c r="D73" s="56"/>
      <c r="E73" s="27" t="s">
        <v>716</v>
      </c>
      <c r="F73" s="58">
        <v>43069</v>
      </c>
      <c r="G73" s="97">
        <v>43676</v>
      </c>
      <c r="H73" s="98"/>
      <c r="I73" s="98"/>
      <c r="J73" s="99"/>
      <c r="K73" s="123">
        <v>6.8000000000000005E-2</v>
      </c>
      <c r="L73" s="124"/>
      <c r="M73" s="125"/>
      <c r="N73" s="103">
        <v>2000000000</v>
      </c>
      <c r="O73" s="104"/>
      <c r="P73" s="104"/>
      <c r="Q73" s="105"/>
      <c r="R73" s="65" t="s">
        <v>699</v>
      </c>
      <c r="S73" s="66"/>
      <c r="T73" s="66"/>
      <c r="U73" s="66"/>
      <c r="V73" s="67"/>
      <c r="W73" s="96"/>
      <c r="X73" s="95"/>
      <c r="Y73" s="95"/>
    </row>
    <row r="74" spans="4:25">
      <c r="D74" s="56"/>
      <c r="E74" s="27" t="s">
        <v>717</v>
      </c>
      <c r="F74" s="58">
        <v>43131</v>
      </c>
      <c r="G74" s="97">
        <v>43738</v>
      </c>
      <c r="H74" s="98"/>
      <c r="I74" s="98"/>
      <c r="J74" s="99"/>
      <c r="K74" s="123">
        <v>6.8000000000000005E-2</v>
      </c>
      <c r="L74" s="124"/>
      <c r="M74" s="125"/>
      <c r="N74" s="103">
        <v>1000000000</v>
      </c>
      <c r="O74" s="104"/>
      <c r="P74" s="104"/>
      <c r="Q74" s="105"/>
      <c r="R74" s="65" t="s">
        <v>699</v>
      </c>
      <c r="S74" s="66"/>
      <c r="T74" s="66"/>
      <c r="U74" s="66"/>
      <c r="V74" s="67"/>
      <c r="W74" s="96"/>
      <c r="X74" s="95"/>
      <c r="Y74" s="95"/>
    </row>
    <row r="75" spans="4:25">
      <c r="D75" s="56"/>
      <c r="E75" s="27" t="s">
        <v>718</v>
      </c>
      <c r="F75" s="58">
        <v>43404</v>
      </c>
      <c r="G75" s="97">
        <v>44012</v>
      </c>
      <c r="H75" s="98"/>
      <c r="I75" s="98"/>
      <c r="J75" s="99"/>
      <c r="K75" s="123">
        <v>6.8000000000000005E-2</v>
      </c>
      <c r="L75" s="124"/>
      <c r="M75" s="125"/>
      <c r="N75" s="103">
        <v>1000000000</v>
      </c>
      <c r="O75" s="104"/>
      <c r="P75" s="104"/>
      <c r="Q75" s="105"/>
      <c r="R75" s="65" t="s">
        <v>699</v>
      </c>
      <c r="S75" s="66"/>
      <c r="T75" s="66"/>
      <c r="U75" s="66"/>
      <c r="V75" s="67"/>
      <c r="W75" s="96"/>
      <c r="X75" s="95"/>
      <c r="Y75" s="95"/>
    </row>
    <row r="76" spans="4:25">
      <c r="D76" s="56"/>
      <c r="E76" s="27" t="s">
        <v>719</v>
      </c>
      <c r="F76" s="58">
        <v>43427</v>
      </c>
      <c r="G76" s="97">
        <v>44035</v>
      </c>
      <c r="H76" s="98"/>
      <c r="I76" s="98"/>
      <c r="J76" s="99"/>
      <c r="K76" s="123">
        <v>6.8000000000000005E-2</v>
      </c>
      <c r="L76" s="124"/>
      <c r="M76" s="125"/>
      <c r="N76" s="103">
        <v>1000000000</v>
      </c>
      <c r="O76" s="104"/>
      <c r="P76" s="104"/>
      <c r="Q76" s="105"/>
      <c r="R76" s="65" t="s">
        <v>699</v>
      </c>
      <c r="S76" s="66"/>
      <c r="T76" s="66"/>
      <c r="U76" s="66"/>
      <c r="V76" s="67"/>
      <c r="W76" s="96"/>
      <c r="X76" s="95"/>
      <c r="Y76" s="95"/>
    </row>
    <row r="77" spans="4:25">
      <c r="D77" s="56"/>
      <c r="E77" s="27" t="s">
        <v>720</v>
      </c>
      <c r="F77" s="58">
        <v>43496</v>
      </c>
      <c r="G77" s="97">
        <v>44104</v>
      </c>
      <c r="H77" s="98"/>
      <c r="I77" s="98"/>
      <c r="J77" s="99"/>
      <c r="K77" s="123">
        <v>6.8000000000000005E-2</v>
      </c>
      <c r="L77" s="124"/>
      <c r="M77" s="125"/>
      <c r="N77" s="103">
        <v>2700000000</v>
      </c>
      <c r="O77" s="104"/>
      <c r="P77" s="104"/>
      <c r="Q77" s="105"/>
      <c r="R77" s="65" t="s">
        <v>699</v>
      </c>
      <c r="S77" s="66"/>
      <c r="T77" s="66"/>
      <c r="U77" s="66"/>
      <c r="V77" s="67"/>
      <c r="W77" s="96"/>
      <c r="X77" s="95"/>
      <c r="Y77" s="95"/>
    </row>
    <row r="78" spans="4:25">
      <c r="D78" s="56"/>
      <c r="E78" s="27" t="s">
        <v>721</v>
      </c>
      <c r="F78" s="58">
        <v>43556</v>
      </c>
      <c r="G78" s="97">
        <v>44166</v>
      </c>
      <c r="H78" s="98"/>
      <c r="I78" s="98"/>
      <c r="J78" s="99"/>
      <c r="K78" s="123">
        <v>6.8000000000000005E-2</v>
      </c>
      <c r="L78" s="124"/>
      <c r="M78" s="125"/>
      <c r="N78" s="103">
        <v>1000000000</v>
      </c>
      <c r="O78" s="104"/>
      <c r="P78" s="104"/>
      <c r="Q78" s="105"/>
      <c r="R78" s="65" t="s">
        <v>699</v>
      </c>
      <c r="S78" s="66"/>
      <c r="T78" s="66"/>
      <c r="U78" s="66"/>
      <c r="V78" s="67"/>
      <c r="W78" s="96"/>
      <c r="X78" s="95"/>
      <c r="Y78" s="95"/>
    </row>
    <row r="79" spans="4:25" ht="18" thickBot="1">
      <c r="D79" s="57"/>
      <c r="E79" s="33" t="s">
        <v>722</v>
      </c>
      <c r="F79" s="64">
        <v>43677</v>
      </c>
      <c r="G79" s="126">
        <v>44286</v>
      </c>
      <c r="H79" s="127"/>
      <c r="I79" s="127"/>
      <c r="J79" s="128"/>
      <c r="K79" s="129">
        <v>6.6000000000000003E-2</v>
      </c>
      <c r="L79" s="130"/>
      <c r="M79" s="131"/>
      <c r="N79" s="132">
        <v>1500000000</v>
      </c>
      <c r="O79" s="133"/>
      <c r="P79" s="133"/>
      <c r="Q79" s="134"/>
      <c r="R79" s="75" t="s">
        <v>699</v>
      </c>
      <c r="S79" s="76"/>
      <c r="T79" s="76"/>
      <c r="U79" s="76"/>
      <c r="V79" s="77"/>
      <c r="W79" s="96"/>
      <c r="X79" s="95"/>
      <c r="Y79" s="95"/>
    </row>
    <row r="80" spans="4:25">
      <c r="D80" s="136"/>
      <c r="E80" s="26" t="s">
        <v>723</v>
      </c>
      <c r="F80" s="78">
        <v>43878</v>
      </c>
      <c r="G80" s="138">
        <v>44486</v>
      </c>
      <c r="H80" s="138"/>
      <c r="I80" s="138"/>
      <c r="J80" s="138"/>
      <c r="K80" s="140">
        <v>5.8999999999999997E-2</v>
      </c>
      <c r="L80" s="140"/>
      <c r="M80" s="140"/>
      <c r="N80" s="142">
        <v>1000000000</v>
      </c>
      <c r="O80" s="142"/>
      <c r="P80" s="142"/>
      <c r="Q80" s="142"/>
      <c r="R80" s="80" t="s">
        <v>699</v>
      </c>
      <c r="S80" s="80"/>
      <c r="T80" s="80"/>
      <c r="U80" s="80"/>
      <c r="V80" s="80"/>
      <c r="W80" s="95"/>
      <c r="X80" s="95"/>
      <c r="Y80" s="95"/>
    </row>
    <row r="81" spans="4:25">
      <c r="D81" s="135"/>
      <c r="E81" s="26" t="s">
        <v>724</v>
      </c>
      <c r="F81" s="78">
        <v>44056</v>
      </c>
      <c r="G81" s="137">
        <v>44664</v>
      </c>
      <c r="H81" s="137"/>
      <c r="I81" s="137"/>
      <c r="J81" s="137"/>
      <c r="K81" s="139">
        <v>5.8999999999999997E-2</v>
      </c>
      <c r="L81" s="139"/>
      <c r="M81" s="139"/>
      <c r="N81" s="141">
        <v>1500000000</v>
      </c>
      <c r="O81" s="141"/>
      <c r="P81" s="141"/>
      <c r="Q81" s="141"/>
      <c r="R81" s="79" t="s">
        <v>699</v>
      </c>
      <c r="S81" s="79"/>
      <c r="T81" s="79"/>
      <c r="U81" s="79"/>
      <c r="V81" s="79"/>
      <c r="W81" s="95"/>
      <c r="X81" s="95"/>
      <c r="Y81" s="95"/>
    </row>
    <row r="82" spans="4:25">
      <c r="D82" s="135"/>
      <c r="E82" s="26" t="s">
        <v>725</v>
      </c>
      <c r="F82" s="78">
        <v>44074</v>
      </c>
      <c r="G82" s="137">
        <v>44681</v>
      </c>
      <c r="H82" s="137"/>
      <c r="I82" s="137"/>
      <c r="J82" s="137"/>
      <c r="K82" s="139">
        <v>5.8999999999999997E-2</v>
      </c>
      <c r="L82" s="139"/>
      <c r="M82" s="139"/>
      <c r="N82" s="141">
        <v>500000000</v>
      </c>
      <c r="O82" s="141"/>
      <c r="P82" s="141"/>
      <c r="Q82" s="141"/>
      <c r="R82" s="79" t="s">
        <v>699</v>
      </c>
      <c r="S82" s="79"/>
      <c r="T82" s="79"/>
      <c r="U82" s="79"/>
      <c r="V82" s="79"/>
      <c r="W82" s="95"/>
      <c r="X82" s="95"/>
      <c r="Y82" s="95"/>
    </row>
    <row r="83" spans="4:25">
      <c r="D83" s="135"/>
      <c r="E83" s="26" t="s">
        <v>726</v>
      </c>
      <c r="F83" s="78">
        <v>44193</v>
      </c>
      <c r="G83" s="137">
        <v>44801</v>
      </c>
      <c r="H83" s="137"/>
      <c r="I83" s="137"/>
      <c r="J83" s="137"/>
      <c r="K83" s="139">
        <v>5.7000000000000002E-2</v>
      </c>
      <c r="L83" s="139"/>
      <c r="M83" s="139"/>
      <c r="N83" s="141">
        <v>1500000000</v>
      </c>
      <c r="O83" s="141"/>
      <c r="P83" s="141"/>
      <c r="Q83" s="141"/>
      <c r="R83" s="79" t="s">
        <v>699</v>
      </c>
      <c r="S83" s="79"/>
      <c r="T83" s="79"/>
      <c r="U83" s="79"/>
      <c r="V83" s="79"/>
      <c r="W83" s="95"/>
      <c r="X83" s="95"/>
      <c r="Y83" s="95"/>
    </row>
    <row r="84" spans="4:25">
      <c r="D84" s="135"/>
      <c r="E84" s="26" t="s">
        <v>727</v>
      </c>
      <c r="F84" s="78">
        <v>44202</v>
      </c>
      <c r="G84" s="137">
        <v>44810</v>
      </c>
      <c r="H84" s="137"/>
      <c r="I84" s="137"/>
      <c r="J84" s="137"/>
      <c r="K84" s="139">
        <v>5.7000000000000002E-2</v>
      </c>
      <c r="L84" s="139"/>
      <c r="M84" s="139"/>
      <c r="N84" s="141">
        <v>500000000</v>
      </c>
      <c r="O84" s="141"/>
      <c r="P84" s="141"/>
      <c r="Q84" s="141"/>
      <c r="R84" s="79" t="s">
        <v>699</v>
      </c>
      <c r="S84" s="79"/>
      <c r="T84" s="79"/>
      <c r="U84" s="79"/>
      <c r="V84" s="79"/>
      <c r="W84" s="95"/>
      <c r="X84" s="95"/>
      <c r="Y84" s="95"/>
    </row>
    <row r="85" spans="4:25">
      <c r="D85" s="135"/>
      <c r="E85" s="26" t="s">
        <v>728</v>
      </c>
      <c r="F85" s="78">
        <v>44435</v>
      </c>
      <c r="G85" s="137">
        <v>45043</v>
      </c>
      <c r="H85" s="137"/>
      <c r="I85" s="137"/>
      <c r="J85" s="137"/>
      <c r="K85" s="139">
        <v>5.2999999999999999E-2</v>
      </c>
      <c r="L85" s="139"/>
      <c r="M85" s="139"/>
      <c r="N85" s="141">
        <v>2000000000</v>
      </c>
      <c r="O85" s="141"/>
      <c r="P85" s="141"/>
      <c r="Q85" s="141"/>
      <c r="R85" s="79" t="s">
        <v>699</v>
      </c>
      <c r="S85" s="79"/>
      <c r="T85" s="79"/>
      <c r="U85" s="79"/>
      <c r="V85" s="79"/>
      <c r="W85" s="95"/>
      <c r="X85" s="95"/>
      <c r="Y85" s="95"/>
    </row>
    <row r="86" spans="4:25">
      <c r="D86" s="135"/>
      <c r="E86" s="26" t="s">
        <v>729</v>
      </c>
      <c r="F86" s="78">
        <v>44525</v>
      </c>
      <c r="G86" s="137">
        <v>45132</v>
      </c>
      <c r="H86" s="137"/>
      <c r="I86" s="137"/>
      <c r="J86" s="137"/>
      <c r="K86" s="139">
        <v>5.0999999999999997E-2</v>
      </c>
      <c r="L86" s="139"/>
      <c r="M86" s="139"/>
      <c r="N86" s="141">
        <v>2000000000</v>
      </c>
      <c r="O86" s="141"/>
      <c r="P86" s="141"/>
      <c r="Q86" s="141"/>
      <c r="R86" s="79" t="s">
        <v>699</v>
      </c>
      <c r="S86" s="79"/>
      <c r="T86" s="79"/>
      <c r="U86" s="79"/>
      <c r="V86" s="79"/>
      <c r="W86" s="95"/>
      <c r="X86" s="95"/>
      <c r="Y86" s="95"/>
    </row>
    <row r="87" spans="4:25">
      <c r="D87" s="135"/>
      <c r="E87" s="26" t="s">
        <v>730</v>
      </c>
      <c r="F87" s="78">
        <v>45433</v>
      </c>
      <c r="G87" s="137">
        <v>46043</v>
      </c>
      <c r="H87" s="137"/>
      <c r="I87" s="137"/>
      <c r="J87" s="137"/>
      <c r="K87" s="139">
        <v>7.5999999999999998E-2</v>
      </c>
      <c r="L87" s="139"/>
      <c r="M87" s="139"/>
      <c r="N87" s="141">
        <v>3000000000</v>
      </c>
      <c r="O87" s="141"/>
      <c r="P87" s="141"/>
      <c r="Q87" s="141"/>
      <c r="R87" s="143">
        <v>2859137105</v>
      </c>
      <c r="S87" s="143"/>
      <c r="T87" s="143"/>
      <c r="U87" s="143"/>
      <c r="V87" s="143"/>
      <c r="W87" s="83">
        <v>1.3</v>
      </c>
      <c r="X87" s="84">
        <v>1.3120000000000001</v>
      </c>
      <c r="Y87" s="81">
        <v>3751516122</v>
      </c>
    </row>
    <row r="88" spans="4:25">
      <c r="D88" s="135"/>
      <c r="E88" s="25" t="s">
        <v>713</v>
      </c>
      <c r="F88" s="144">
        <v>40200000000</v>
      </c>
      <c r="G88" s="144"/>
      <c r="H88" s="144"/>
      <c r="I88" s="145">
        <v>2859137105</v>
      </c>
      <c r="J88" s="145"/>
      <c r="K88" s="145"/>
      <c r="L88" s="146" t="s">
        <v>15</v>
      </c>
      <c r="M88" s="146"/>
      <c r="N88" s="146"/>
      <c r="O88" s="147" t="s">
        <v>15</v>
      </c>
      <c r="P88" s="147"/>
      <c r="Q88" s="145">
        <v>3751516122</v>
      </c>
      <c r="R88" s="145"/>
      <c r="S88" s="145"/>
      <c r="T88" s="145"/>
      <c r="U88" s="145"/>
      <c r="V88" s="95"/>
      <c r="W88" s="95"/>
      <c r="X88" s="95"/>
      <c r="Y88" s="95"/>
    </row>
    <row r="89" spans="4:25">
      <c r="D89" s="25" t="s">
        <v>731</v>
      </c>
      <c r="E89" s="82">
        <v>62200000000</v>
      </c>
      <c r="F89" s="145">
        <v>4859137105</v>
      </c>
      <c r="G89" s="145"/>
      <c r="H89" s="146" t="s">
        <v>15</v>
      </c>
      <c r="I89" s="146"/>
      <c r="J89" s="147" t="s">
        <v>15</v>
      </c>
      <c r="K89" s="147"/>
      <c r="L89" s="147"/>
      <c r="M89" s="145">
        <v>6423817775</v>
      </c>
      <c r="N89" s="145"/>
      <c r="O89" s="145"/>
      <c r="P89" s="95"/>
      <c r="Q89" s="95"/>
      <c r="R89" s="95"/>
      <c r="S89" s="95"/>
      <c r="T89" s="95"/>
      <c r="U89" s="95"/>
      <c r="V89" s="95"/>
      <c r="W89" s="95"/>
      <c r="X89" s="95"/>
      <c r="Y89" s="95"/>
    </row>
    <row r="142" spans="4:8">
      <c r="D142" s="16" t="s">
        <v>570</v>
      </c>
      <c r="E142" s="16" t="s">
        <v>571</v>
      </c>
      <c r="F142" s="16" t="s">
        <v>572</v>
      </c>
      <c r="G142" s="16" t="s">
        <v>573</v>
      </c>
      <c r="H142" s="16" t="s">
        <v>574</v>
      </c>
    </row>
    <row r="143" spans="4:8">
      <c r="D143" t="s">
        <v>261</v>
      </c>
      <c r="E143" s="14">
        <v>17755</v>
      </c>
      <c r="F143" s="14">
        <v>2624</v>
      </c>
      <c r="G143" s="14">
        <v>3036</v>
      </c>
      <c r="H143" s="14">
        <v>2832</v>
      </c>
    </row>
    <row r="144" spans="4:8">
      <c r="D144" t="s">
        <v>575</v>
      </c>
      <c r="E144" s="14">
        <v>217907</v>
      </c>
      <c r="F144" s="14">
        <v>240762</v>
      </c>
      <c r="G144" s="14">
        <v>199215</v>
      </c>
      <c r="H144" s="14">
        <v>193686</v>
      </c>
    </row>
    <row r="145" spans="4:8">
      <c r="D145" t="s">
        <v>576</v>
      </c>
      <c r="E145" s="14">
        <v>226619</v>
      </c>
      <c r="F145" s="14">
        <v>250422</v>
      </c>
      <c r="G145" s="14">
        <v>209871</v>
      </c>
      <c r="H145" s="14">
        <v>203024</v>
      </c>
    </row>
    <row r="146" spans="4:8">
      <c r="D146" t="s">
        <v>269</v>
      </c>
      <c r="E146" s="14">
        <v>-8713</v>
      </c>
      <c r="F146" s="14">
        <v>-9660</v>
      </c>
      <c r="G146" s="14">
        <v>-10656</v>
      </c>
      <c r="H146" s="14">
        <v>-9338</v>
      </c>
    </row>
    <row r="147" spans="4:8">
      <c r="D147" t="s">
        <v>577</v>
      </c>
      <c r="E147" s="14">
        <v>29543</v>
      </c>
      <c r="F147" s="14">
        <v>27082</v>
      </c>
      <c r="G147" s="14">
        <v>41014</v>
      </c>
      <c r="H147" s="14">
        <v>40855</v>
      </c>
    </row>
    <row r="148" spans="4:8">
      <c r="D148" t="s">
        <v>247</v>
      </c>
      <c r="E148" s="14">
        <v>265204</v>
      </c>
      <c r="F148" s="14">
        <v>270468</v>
      </c>
      <c r="G148" s="14">
        <v>243265</v>
      </c>
      <c r="H148" s="14">
        <v>237373</v>
      </c>
    </row>
    <row r="149" spans="4:8">
      <c r="D149" t="s">
        <v>578</v>
      </c>
      <c r="E149" s="14">
        <v>227565</v>
      </c>
      <c r="F149" s="14">
        <v>231262</v>
      </c>
      <c r="G149" s="14">
        <v>199992</v>
      </c>
      <c r="H149" s="14">
        <v>194525</v>
      </c>
    </row>
    <row r="150" spans="4:8">
      <c r="D150" t="s">
        <v>579</v>
      </c>
      <c r="E150" s="14"/>
      <c r="F150" s="14"/>
      <c r="G150" s="14">
        <v>8000</v>
      </c>
      <c r="H150" s="14">
        <v>7000</v>
      </c>
    </row>
    <row r="151" spans="4:8">
      <c r="D151" t="s">
        <v>580</v>
      </c>
      <c r="E151" s="14">
        <v>227565</v>
      </c>
      <c r="F151" s="14">
        <v>231262</v>
      </c>
      <c r="G151" s="14">
        <v>191992</v>
      </c>
      <c r="H151" s="14">
        <v>187525</v>
      </c>
    </row>
    <row r="152" spans="4:8">
      <c r="D152" t="s">
        <v>581</v>
      </c>
      <c r="E152" s="14">
        <v>1178</v>
      </c>
      <c r="F152" s="14">
        <v>1887</v>
      </c>
      <c r="G152" s="14">
        <v>1619</v>
      </c>
      <c r="H152" s="14">
        <v>922</v>
      </c>
    </row>
    <row r="153" spans="4:8">
      <c r="D153" t="s">
        <v>251</v>
      </c>
      <c r="E153" s="14">
        <v>228743</v>
      </c>
      <c r="F153" s="14">
        <v>233149</v>
      </c>
      <c r="G153" s="14">
        <v>201611</v>
      </c>
      <c r="H153" s="14">
        <v>195447</v>
      </c>
    </row>
    <row r="154" spans="4:8">
      <c r="D154" t="s">
        <v>258</v>
      </c>
      <c r="E154" s="14">
        <v>26000</v>
      </c>
      <c r="F154" s="14">
        <v>26000</v>
      </c>
      <c r="G154" s="14">
        <v>28500</v>
      </c>
      <c r="H154" s="14">
        <v>28500</v>
      </c>
    </row>
    <row r="155" spans="4:8">
      <c r="D155" t="s">
        <v>582</v>
      </c>
      <c r="E155" s="14">
        <v>11</v>
      </c>
      <c r="F155" s="14">
        <v>-2</v>
      </c>
      <c r="G155" s="14">
        <v>-14</v>
      </c>
      <c r="H155" s="14">
        <v>-16</v>
      </c>
    </row>
    <row r="156" spans="4:8">
      <c r="D156" t="s">
        <v>583</v>
      </c>
      <c r="E156" s="14">
        <v>10449</v>
      </c>
      <c r="F156" s="14">
        <v>11322</v>
      </c>
      <c r="G156" s="14">
        <v>13168</v>
      </c>
      <c r="H156" s="14">
        <v>13442</v>
      </c>
    </row>
    <row r="157" spans="4:8">
      <c r="D157" t="s">
        <v>254</v>
      </c>
      <c r="E157" s="14">
        <v>36461</v>
      </c>
      <c r="F157" s="14">
        <v>37320</v>
      </c>
      <c r="G157" s="14">
        <v>41654</v>
      </c>
      <c r="H157" s="14">
        <v>41926</v>
      </c>
    </row>
    <row r="160" spans="4:8">
      <c r="D160" s="16" t="s">
        <v>570</v>
      </c>
      <c r="E160" s="16" t="s">
        <v>571</v>
      </c>
      <c r="F160" s="16" t="s">
        <v>572</v>
      </c>
      <c r="G160" s="16" t="s">
        <v>573</v>
      </c>
      <c r="H160" s="16" t="s">
        <v>574</v>
      </c>
    </row>
    <row r="161" spans="4:8">
      <c r="D161" t="s">
        <v>584</v>
      </c>
      <c r="E161" s="14">
        <v>41070</v>
      </c>
      <c r="F161" s="14">
        <v>38475</v>
      </c>
      <c r="G161" s="14">
        <v>35541</v>
      </c>
      <c r="H161" s="14">
        <v>9800</v>
      </c>
    </row>
    <row r="162" spans="4:8">
      <c r="D162" t="s">
        <v>585</v>
      </c>
      <c r="E162" s="14">
        <v>37351</v>
      </c>
      <c r="F162" s="14">
        <v>37019</v>
      </c>
      <c r="G162" s="14">
        <v>30101</v>
      </c>
      <c r="H162" s="14">
        <v>9737</v>
      </c>
    </row>
    <row r="163" spans="4:8">
      <c r="D163" t="s">
        <v>586</v>
      </c>
      <c r="E163" s="14">
        <v>3719</v>
      </c>
      <c r="F163" s="14">
        <v>1443</v>
      </c>
      <c r="G163" s="14">
        <v>5440</v>
      </c>
      <c r="H163" s="14">
        <v>63</v>
      </c>
    </row>
    <row r="164" spans="4:8">
      <c r="D164" t="s">
        <v>587</v>
      </c>
      <c r="E164" s="14">
        <v>35992</v>
      </c>
      <c r="F164" s="14">
        <v>35022</v>
      </c>
      <c r="G164" s="14">
        <v>33310</v>
      </c>
      <c r="H164" s="14">
        <v>9541</v>
      </c>
    </row>
    <row r="165" spans="4:8">
      <c r="D165" t="s">
        <v>280</v>
      </c>
      <c r="E165" s="14">
        <v>15166</v>
      </c>
      <c r="F165" s="14">
        <v>16606</v>
      </c>
      <c r="G165" s="14">
        <v>19083</v>
      </c>
      <c r="H165" s="14">
        <v>6104</v>
      </c>
    </row>
    <row r="166" spans="4:8">
      <c r="D166" t="s">
        <v>283</v>
      </c>
      <c r="E166" s="14">
        <v>6248</v>
      </c>
      <c r="F166" s="14">
        <v>4801</v>
      </c>
      <c r="G166" s="14">
        <v>4463</v>
      </c>
      <c r="H166" s="14">
        <v>598</v>
      </c>
    </row>
    <row r="167" spans="4:8">
      <c r="D167" t="s">
        <v>588</v>
      </c>
      <c r="E167" s="14">
        <v>4080</v>
      </c>
      <c r="F167" s="14">
        <v>3481</v>
      </c>
      <c r="G167" s="14">
        <v>236</v>
      </c>
      <c r="H167" s="14">
        <v>170</v>
      </c>
    </row>
    <row r="168" spans="4:8">
      <c r="D168" t="s">
        <v>589</v>
      </c>
      <c r="E168" s="14">
        <v>10498</v>
      </c>
      <c r="F168" s="14">
        <v>10134</v>
      </c>
      <c r="G168" s="14">
        <v>9528</v>
      </c>
      <c r="H168" s="14">
        <v>2669</v>
      </c>
    </row>
    <row r="169" spans="4:8">
      <c r="D169" t="s">
        <v>289</v>
      </c>
      <c r="E169" s="14">
        <v>5078</v>
      </c>
      <c r="F169" s="14">
        <v>3453</v>
      </c>
      <c r="G169" s="14">
        <v>2231</v>
      </c>
      <c r="H169" s="14">
        <v>259</v>
      </c>
    </row>
    <row r="170" spans="4:8">
      <c r="D170" t="s">
        <v>590</v>
      </c>
      <c r="E170" s="14">
        <v>66</v>
      </c>
      <c r="F170" s="14">
        <v>52</v>
      </c>
      <c r="G170" s="14">
        <v>92</v>
      </c>
      <c r="H170" s="14">
        <v>18</v>
      </c>
    </row>
    <row r="171" spans="4:8">
      <c r="D171" t="s">
        <v>591</v>
      </c>
      <c r="E171" s="14">
        <v>83</v>
      </c>
      <c r="F171" s="14">
        <v>17</v>
      </c>
      <c r="G171" s="14">
        <v>19</v>
      </c>
      <c r="H171" s="14">
        <v>3</v>
      </c>
    </row>
    <row r="172" spans="4:8">
      <c r="D172" t="s">
        <v>592</v>
      </c>
      <c r="E172" s="14">
        <v>5061</v>
      </c>
      <c r="F172" s="14">
        <v>3488</v>
      </c>
      <c r="G172" s="14">
        <v>2304</v>
      </c>
      <c r="H172" s="14">
        <v>273</v>
      </c>
    </row>
    <row r="173" spans="4:8">
      <c r="D173" t="s">
        <v>593</v>
      </c>
      <c r="E173" s="14">
        <v>1247</v>
      </c>
      <c r="F173" s="14">
        <v>624</v>
      </c>
      <c r="G173" s="14">
        <v>457</v>
      </c>
      <c r="H173" s="14"/>
    </row>
    <row r="174" spans="4:8">
      <c r="D174" t="s">
        <v>292</v>
      </c>
      <c r="E174" s="14">
        <v>3814</v>
      </c>
      <c r="F174" s="14">
        <v>2864</v>
      </c>
      <c r="G174" s="14">
        <v>1847</v>
      </c>
      <c r="H174" s="14">
        <v>273</v>
      </c>
    </row>
  </sheetData>
  <mergeCells count="240">
    <mergeCell ref="F89:G89"/>
    <mergeCell ref="H89:I89"/>
    <mergeCell ref="J89:L89"/>
    <mergeCell ref="M89:O89"/>
    <mergeCell ref="P89:Y89"/>
    <mergeCell ref="G87:J87"/>
    <mergeCell ref="K87:M87"/>
    <mergeCell ref="N87:Q87"/>
    <mergeCell ref="R87:V87"/>
    <mergeCell ref="F88:H88"/>
    <mergeCell ref="I88:K88"/>
    <mergeCell ref="L88:N88"/>
    <mergeCell ref="O88:P88"/>
    <mergeCell ref="Q88:U88"/>
    <mergeCell ref="V88:Y88"/>
    <mergeCell ref="G85:J85"/>
    <mergeCell ref="K85:M85"/>
    <mergeCell ref="N85:Q85"/>
    <mergeCell ref="R85:V85"/>
    <mergeCell ref="W85:Y85"/>
    <mergeCell ref="G86:J86"/>
    <mergeCell ref="K86:M86"/>
    <mergeCell ref="N86:Q86"/>
    <mergeCell ref="R86:V86"/>
    <mergeCell ref="W86:Y86"/>
    <mergeCell ref="G83:J83"/>
    <mergeCell ref="K83:M83"/>
    <mergeCell ref="N83:Q83"/>
    <mergeCell ref="R83:V83"/>
    <mergeCell ref="W83:Y83"/>
    <mergeCell ref="G84:J84"/>
    <mergeCell ref="K84:M84"/>
    <mergeCell ref="N84:Q84"/>
    <mergeCell ref="R84:V84"/>
    <mergeCell ref="W84:Y84"/>
    <mergeCell ref="W81:Y81"/>
    <mergeCell ref="G82:J82"/>
    <mergeCell ref="K82:M82"/>
    <mergeCell ref="N82:Q82"/>
    <mergeCell ref="R82:V82"/>
    <mergeCell ref="W82:Y82"/>
    <mergeCell ref="D80:D88"/>
    <mergeCell ref="G80:J80"/>
    <mergeCell ref="K80:M80"/>
    <mergeCell ref="N80:Q80"/>
    <mergeCell ref="R80:V80"/>
    <mergeCell ref="W80:Y80"/>
    <mergeCell ref="G81:J81"/>
    <mergeCell ref="K81:M81"/>
    <mergeCell ref="N81:Q81"/>
    <mergeCell ref="R81:V81"/>
    <mergeCell ref="G78:J78"/>
    <mergeCell ref="K78:M78"/>
    <mergeCell ref="N78:Q78"/>
    <mergeCell ref="R78:V78"/>
    <mergeCell ref="W78:Y78"/>
    <mergeCell ref="G79:J79"/>
    <mergeCell ref="K79:M79"/>
    <mergeCell ref="N79:Q79"/>
    <mergeCell ref="R79:V79"/>
    <mergeCell ref="W79:Y79"/>
    <mergeCell ref="G76:J76"/>
    <mergeCell ref="K76:M76"/>
    <mergeCell ref="N76:Q76"/>
    <mergeCell ref="R76:V76"/>
    <mergeCell ref="W76:Y76"/>
    <mergeCell ref="G77:J77"/>
    <mergeCell ref="K77:M77"/>
    <mergeCell ref="N77:Q77"/>
    <mergeCell ref="R77:V77"/>
    <mergeCell ref="W77:Y77"/>
    <mergeCell ref="N74:Q74"/>
    <mergeCell ref="R74:V74"/>
    <mergeCell ref="W74:Y74"/>
    <mergeCell ref="G75:J75"/>
    <mergeCell ref="K75:M75"/>
    <mergeCell ref="N75:Q75"/>
    <mergeCell ref="R75:V75"/>
    <mergeCell ref="W75:Y75"/>
    <mergeCell ref="N72:Q72"/>
    <mergeCell ref="R72:V72"/>
    <mergeCell ref="W72:Y72"/>
    <mergeCell ref="G73:J73"/>
    <mergeCell ref="K73:M73"/>
    <mergeCell ref="N73:Q73"/>
    <mergeCell ref="R73:V73"/>
    <mergeCell ref="W73:Y73"/>
    <mergeCell ref="G70:J70"/>
    <mergeCell ref="K70:M70"/>
    <mergeCell ref="N70:Q70"/>
    <mergeCell ref="R70:V70"/>
    <mergeCell ref="W70:Y70"/>
    <mergeCell ref="G71:J71"/>
    <mergeCell ref="K71:M71"/>
    <mergeCell ref="N71:Q71"/>
    <mergeCell ref="R71:V71"/>
    <mergeCell ref="W71:Y71"/>
    <mergeCell ref="N68:Q68"/>
    <mergeCell ref="R68:V68"/>
    <mergeCell ref="W68:Y68"/>
    <mergeCell ref="G69:J69"/>
    <mergeCell ref="K69:M69"/>
    <mergeCell ref="N69:Q69"/>
    <mergeCell ref="R69:V69"/>
    <mergeCell ref="W69:Y69"/>
    <mergeCell ref="N66:Q66"/>
    <mergeCell ref="R66:V66"/>
    <mergeCell ref="W66:Y66"/>
    <mergeCell ref="G67:J67"/>
    <mergeCell ref="K67:M67"/>
    <mergeCell ref="N67:Q67"/>
    <mergeCell ref="R67:V67"/>
    <mergeCell ref="W67:Y67"/>
    <mergeCell ref="K64:M64"/>
    <mergeCell ref="N64:Q64"/>
    <mergeCell ref="R64:V64"/>
    <mergeCell ref="W64:Y64"/>
    <mergeCell ref="G65:J65"/>
    <mergeCell ref="K65:M65"/>
    <mergeCell ref="N65:Q65"/>
    <mergeCell ref="R65:V65"/>
    <mergeCell ref="W65:Y65"/>
    <mergeCell ref="N62:Q62"/>
    <mergeCell ref="R62:V62"/>
    <mergeCell ref="W62:Y62"/>
    <mergeCell ref="G63:J63"/>
    <mergeCell ref="K63:M63"/>
    <mergeCell ref="N63:Q63"/>
    <mergeCell ref="R63:V63"/>
    <mergeCell ref="W63:Y63"/>
    <mergeCell ref="N60:Q60"/>
    <mergeCell ref="R60:V60"/>
    <mergeCell ref="W60:Y60"/>
    <mergeCell ref="G61:J61"/>
    <mergeCell ref="K61:M61"/>
    <mergeCell ref="N61:Q61"/>
    <mergeCell ref="R61:V61"/>
    <mergeCell ref="W61:Y61"/>
    <mergeCell ref="N58:Q58"/>
    <mergeCell ref="R58:V58"/>
    <mergeCell ref="W58:Y58"/>
    <mergeCell ref="G59:J59"/>
    <mergeCell ref="K59:M59"/>
    <mergeCell ref="N59:Q59"/>
    <mergeCell ref="R59:V59"/>
    <mergeCell ref="W59:Y59"/>
    <mergeCell ref="N56:Q56"/>
    <mergeCell ref="U56:V56"/>
    <mergeCell ref="W56:Y56"/>
    <mergeCell ref="E57:M57"/>
    <mergeCell ref="N57:Q57"/>
    <mergeCell ref="U57:V57"/>
    <mergeCell ref="W57:Y57"/>
    <mergeCell ref="N54:Q54"/>
    <mergeCell ref="R54:V54"/>
    <mergeCell ref="W54:Y54"/>
    <mergeCell ref="G55:J55"/>
    <mergeCell ref="K55:M55"/>
    <mergeCell ref="N55:Q55"/>
    <mergeCell ref="R55:V55"/>
    <mergeCell ref="W55:Y55"/>
    <mergeCell ref="G52:J52"/>
    <mergeCell ref="K52:M52"/>
    <mergeCell ref="N52:Q52"/>
    <mergeCell ref="R52:V52"/>
    <mergeCell ref="W52:Y52"/>
    <mergeCell ref="G53:J53"/>
    <mergeCell ref="K53:M53"/>
    <mergeCell ref="N53:Q53"/>
    <mergeCell ref="R53:V53"/>
    <mergeCell ref="W53:Y53"/>
    <mergeCell ref="N50:Q50"/>
    <mergeCell ref="R50:V50"/>
    <mergeCell ref="W50:Y50"/>
    <mergeCell ref="G51:J51"/>
    <mergeCell ref="K51:M51"/>
    <mergeCell ref="N51:Q51"/>
    <mergeCell ref="R51:V51"/>
    <mergeCell ref="W51:Y51"/>
    <mergeCell ref="N48:Q48"/>
    <mergeCell ref="R48:V48"/>
    <mergeCell ref="W48:Y48"/>
    <mergeCell ref="G49:J49"/>
    <mergeCell ref="K49:M49"/>
    <mergeCell ref="N49:Q49"/>
    <mergeCell ref="R49:V49"/>
    <mergeCell ref="W49:Y49"/>
    <mergeCell ref="G46:J46"/>
    <mergeCell ref="K46:M46"/>
    <mergeCell ref="N46:Q46"/>
    <mergeCell ref="R46:V46"/>
    <mergeCell ref="W46:Y46"/>
    <mergeCell ref="G47:J47"/>
    <mergeCell ref="K47:M47"/>
    <mergeCell ref="N47:Q47"/>
    <mergeCell ref="R47:V47"/>
    <mergeCell ref="W47:Y47"/>
    <mergeCell ref="N44:Q44"/>
    <mergeCell ref="R44:V44"/>
    <mergeCell ref="W44:Y44"/>
    <mergeCell ref="G45:J45"/>
    <mergeCell ref="K45:M45"/>
    <mergeCell ref="N45:Q45"/>
    <mergeCell ref="R45:V45"/>
    <mergeCell ref="W45:Y45"/>
    <mergeCell ref="N42:Q42"/>
    <mergeCell ref="U42:V42"/>
    <mergeCell ref="W42:Y42"/>
    <mergeCell ref="G43:J43"/>
    <mergeCell ref="K43:M43"/>
    <mergeCell ref="N43:Q43"/>
    <mergeCell ref="R43:V43"/>
    <mergeCell ref="W43:Y43"/>
    <mergeCell ref="G58:J58"/>
    <mergeCell ref="G60:J60"/>
    <mergeCell ref="G62:J62"/>
    <mergeCell ref="G64:J64"/>
    <mergeCell ref="G72:J72"/>
    <mergeCell ref="K72:M72"/>
    <mergeCell ref="G74:J74"/>
    <mergeCell ref="K74:M74"/>
    <mergeCell ref="G66:J66"/>
    <mergeCell ref="K66:M66"/>
    <mergeCell ref="G68:J68"/>
    <mergeCell ref="K68:M68"/>
    <mergeCell ref="K58:M58"/>
    <mergeCell ref="K60:M60"/>
    <mergeCell ref="K62:M62"/>
    <mergeCell ref="G54:J54"/>
    <mergeCell ref="K54:M54"/>
    <mergeCell ref="G56:J56"/>
    <mergeCell ref="K56:M56"/>
    <mergeCell ref="G48:J48"/>
    <mergeCell ref="K48:M48"/>
    <mergeCell ref="G50:J50"/>
    <mergeCell ref="K50:M50"/>
    <mergeCell ref="G42:J42"/>
    <mergeCell ref="K42:M42"/>
    <mergeCell ref="G44:J44"/>
    <mergeCell ref="K44:M44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DEFB-2F53-AD4C-97E5-7547CE114C1C}">
  <dimension ref="A1:E56"/>
  <sheetViews>
    <sheetView zoomScale="158" workbookViewId="0">
      <selection activeCell="A3" sqref="A3:B26"/>
    </sheetView>
  </sheetViews>
  <sheetFormatPr baseColWidth="10" defaultRowHeight="17"/>
  <cols>
    <col min="1" max="1" width="26" bestFit="1" customWidth="1"/>
    <col min="2" max="2" width="42.33203125" bestFit="1" customWidth="1"/>
    <col min="3" max="3" width="13" bestFit="1" customWidth="1"/>
  </cols>
  <sheetData>
    <row r="1" spans="1:2">
      <c r="A1" t="s">
        <v>607</v>
      </c>
    </row>
    <row r="2" spans="1:2">
      <c r="A2" s="19" t="s">
        <v>599</v>
      </c>
      <c r="B2" s="19" t="s">
        <v>600</v>
      </c>
    </row>
    <row r="28" spans="1:2" ht="20">
      <c r="A28" s="20" t="s">
        <v>608</v>
      </c>
    </row>
    <row r="29" spans="1:2">
      <c r="A29" s="19" t="s">
        <v>599</v>
      </c>
      <c r="B29" s="19" t="s">
        <v>600</v>
      </c>
    </row>
    <row r="30" spans="1:2">
      <c r="A30" t="s">
        <v>605</v>
      </c>
      <c r="B30" t="s">
        <v>609</v>
      </c>
    </row>
    <row r="31" spans="1:2">
      <c r="A31" t="s">
        <v>606</v>
      </c>
      <c r="B31" t="s">
        <v>610</v>
      </c>
    </row>
    <row r="32" spans="1:2">
      <c r="A32" t="s">
        <v>611</v>
      </c>
      <c r="B32" t="s">
        <v>612</v>
      </c>
    </row>
    <row r="34" spans="1:5">
      <c r="A34" t="s">
        <v>613</v>
      </c>
    </row>
    <row r="35" spans="1:5">
      <c r="A35" s="19" t="s">
        <v>599</v>
      </c>
      <c r="B35" s="19" t="s">
        <v>600</v>
      </c>
    </row>
    <row r="36" spans="1:5">
      <c r="A36" t="s">
        <v>614</v>
      </c>
      <c r="B36" t="s">
        <v>594</v>
      </c>
    </row>
    <row r="37" spans="1:5">
      <c r="A37" t="s">
        <v>615</v>
      </c>
      <c r="B37" t="s">
        <v>616</v>
      </c>
    </row>
    <row r="38" spans="1:5">
      <c r="A38" t="s">
        <v>617</v>
      </c>
      <c r="B38" t="s">
        <v>618</v>
      </c>
    </row>
    <row r="39" spans="1:5">
      <c r="A39" t="s">
        <v>619</v>
      </c>
      <c r="B39" t="s">
        <v>620</v>
      </c>
    </row>
    <row r="40" spans="1:5">
      <c r="A40" t="s">
        <v>621</v>
      </c>
      <c r="B40" s="21">
        <v>41988</v>
      </c>
    </row>
    <row r="41" spans="1:5">
      <c r="A41" t="s">
        <v>258</v>
      </c>
      <c r="B41" t="s">
        <v>622</v>
      </c>
    </row>
    <row r="42" spans="1:5">
      <c r="A42" t="s">
        <v>623</v>
      </c>
      <c r="B42" t="s">
        <v>624</v>
      </c>
    </row>
    <row r="43" spans="1:5">
      <c r="A43" t="s">
        <v>625</v>
      </c>
      <c r="B43" t="s">
        <v>626</v>
      </c>
    </row>
    <row r="44" spans="1:5">
      <c r="A44" t="s">
        <v>627</v>
      </c>
      <c r="B44" t="s">
        <v>597</v>
      </c>
    </row>
    <row r="46" spans="1:5">
      <c r="A46" t="s">
        <v>628</v>
      </c>
      <c r="C46" s="19" t="s">
        <v>629</v>
      </c>
      <c r="D46" s="19" t="s">
        <v>630</v>
      </c>
      <c r="E46" s="19" t="s">
        <v>5</v>
      </c>
    </row>
    <row r="47" spans="1:5">
      <c r="A47" s="19" t="s">
        <v>200</v>
      </c>
      <c r="B47" s="19" t="s">
        <v>205</v>
      </c>
      <c r="C47" s="9">
        <v>368440000</v>
      </c>
      <c r="D47" s="15">
        <v>0.437</v>
      </c>
    </row>
    <row r="48" spans="1:5">
      <c r="A48" t="s">
        <v>631</v>
      </c>
      <c r="B48" s="9">
        <v>73688</v>
      </c>
      <c r="C48" s="9">
        <v>242200000</v>
      </c>
      <c r="D48" s="15">
        <v>0.28799999999999998</v>
      </c>
    </row>
    <row r="49" spans="1:4">
      <c r="A49" t="s">
        <v>595</v>
      </c>
      <c r="B49" s="9">
        <v>48440</v>
      </c>
      <c r="C49" s="9">
        <v>231560000</v>
      </c>
      <c r="D49" s="15">
        <v>0.27500000000000002</v>
      </c>
    </row>
    <row r="50" spans="1:4">
      <c r="A50" t="s">
        <v>616</v>
      </c>
      <c r="B50" s="9">
        <v>46312</v>
      </c>
      <c r="C50" s="9">
        <v>1142200000</v>
      </c>
      <c r="D50" t="s">
        <v>15</v>
      </c>
    </row>
    <row r="51" spans="1:4">
      <c r="A51" t="s">
        <v>632</v>
      </c>
      <c r="B51" s="9">
        <v>228440</v>
      </c>
    </row>
    <row r="53" spans="1:4">
      <c r="A53" s="19" t="s">
        <v>633</v>
      </c>
    </row>
    <row r="54" spans="1:4">
      <c r="A54" s="19" t="s">
        <v>599</v>
      </c>
      <c r="B54" s="19" t="s">
        <v>600</v>
      </c>
    </row>
    <row r="55" spans="1:4">
      <c r="A55" t="s">
        <v>634</v>
      </c>
      <c r="B55" t="s">
        <v>635</v>
      </c>
    </row>
    <row r="56" spans="1:4">
      <c r="A56" t="s">
        <v>636</v>
      </c>
      <c r="B56" t="s">
        <v>637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Lead</vt:lpstr>
      <vt:lpstr>to report</vt:lpstr>
      <vt:lpstr>RAW</vt:lpstr>
      <vt:lpstr>chatgpt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2025-11-02T11:44:22Z</dcterms:modified>
</cp:coreProperties>
</file>