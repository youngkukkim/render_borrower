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2B0EF56C-C9F2-4CD9-9DFE-8F102DF62878}" xr6:coauthVersionLast="47" xr6:coauthVersionMax="47" xr10:uidLastSave="{00000000-0000-0000-0000-000000000000}"/>
  <bookViews>
    <workbookView xWindow="-90" yWindow="0" windowWidth="12980" windowHeight="15370" activeTab="2" xr2:uid="{00000000-000D-0000-FFFF-FFFF00000000}"/>
  </bookViews>
  <sheets>
    <sheet name="Lead" sheetId="2" r:id="rId1"/>
    <sheet name="to report" sheetId="3" r:id="rId2"/>
    <sheet name="RAW" sheetId="4" r:id="rId3"/>
  </sheets>
  <definedNames>
    <definedName name="_xlnm._FilterDatabase" localSheetId="1" hidden="1">'to report'!$B$8:$D$22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3" l="1"/>
  <c r="E44" i="3"/>
  <c r="B44" i="3"/>
  <c r="C44" i="3" s="1"/>
  <c r="E25" i="3"/>
  <c r="L6" i="2" l="1"/>
  <c r="M6" i="2" s="1"/>
</calcChain>
</file>

<file path=xl/sharedStrings.xml><?xml version="1.0" encoding="utf-8"?>
<sst xmlns="http://schemas.openxmlformats.org/spreadsheetml/2006/main" count="1396" uniqueCount="810">
  <si>
    <t>A. 기본정보 섹션 (보고서 첫 머리 / 심의신청서 영역)</t>
  </si>
  <si>
    <t>필드ID</t>
  </si>
  <si>
    <t>필드명 (엑셀 컬럼)</t>
  </si>
  <si>
    <t>형식</t>
  </si>
  <si>
    <t>보고서 반영 위치</t>
  </si>
  <si>
    <t>비고</t>
  </si>
  <si>
    <t>A01</t>
  </si>
  <si>
    <t>문서접수번호</t>
  </si>
  <si>
    <t>텍스트</t>
  </si>
  <si>
    <t>수기</t>
  </si>
  <si>
    <t>표지 상단</t>
  </si>
  <si>
    <t>내부 접수용 코드</t>
  </si>
  <si>
    <t>A02</t>
  </si>
  <si>
    <t>여신접수일자</t>
  </si>
  <si>
    <t>날짜(YYYY.MM.DD)</t>
  </si>
  <si>
    <t>-</t>
  </si>
  <si>
    <t>A03</t>
  </si>
  <si>
    <t>여신심사위원회 개최일자</t>
  </si>
  <si>
    <t>날짜</t>
  </si>
  <si>
    <t>A04</t>
  </si>
  <si>
    <t>신청유형</t>
  </si>
  <si>
    <t>드롭다운(신규/기한연장/대환/조건변경)</t>
  </si>
  <si>
    <t>체크박스 영역에 표시</t>
  </si>
  <si>
    <t>문구 “■ 신규 □ …” 형식 자동 생성</t>
  </si>
  <si>
    <t>A05</t>
  </si>
  <si>
    <t>신청부서</t>
  </si>
  <si>
    <t>예: “종합금융1부2팀”</t>
  </si>
  <si>
    <t>A06</t>
  </si>
  <si>
    <t>권유자</t>
  </si>
  <si>
    <t>권유자 직급 포함 가능</t>
  </si>
  <si>
    <t>A07</t>
  </si>
  <si>
    <t>담당 심사역</t>
  </si>
  <si>
    <t>A08</t>
  </si>
  <si>
    <t>상품명</t>
  </si>
  <si>
    <t>“대부업(체)대출”, “대부업자금대출” 등</t>
  </si>
  <si>
    <t>A09</t>
  </si>
  <si>
    <t>신청사 명칭(법인명)</t>
  </si>
  <si>
    <t>표지 / 1.대출개요 / 3.신청사현황</t>
  </si>
  <si>
    <t>A10</t>
  </si>
  <si>
    <t>연대보증인</t>
  </si>
  <si>
    <t>텍스트(복수 가능)</t>
  </si>
  <si>
    <t>표지 / 채권보전 계획</t>
  </si>
  <si>
    <t>최대주주명, 관계사명 등</t>
  </si>
  <si>
    <t>A11</t>
  </si>
  <si>
    <t>관계사</t>
  </si>
  <si>
    <t>텍스트 또는 다중선택</t>
  </si>
  <si>
    <t>표지 / 관계사 현황 섹션(G)</t>
  </si>
  <si>
    <t>관계사 없으면 “해당사항 없음” 출력</t>
  </si>
  <si>
    <t>B. 대출 개요 섹션 (1. 대출 개요)</t>
  </si>
  <si>
    <t>B01</t>
  </si>
  <si>
    <t>대출금액</t>
  </si>
  <si>
    <t>숫자 (원 단위)</t>
  </si>
  <si>
    <t>“금○○억원(\○○)”</t>
  </si>
  <si>
    <t>B02</t>
  </si>
  <si>
    <t>대출과목</t>
  </si>
  <si>
    <t>“일반자금대출” 등</t>
  </si>
  <si>
    <t>내부 상품코드 맵핑 가능</t>
  </si>
  <si>
    <t>B03</t>
  </si>
  <si>
    <t>대출이율</t>
  </si>
  <si>
    <t>숫자(%)</t>
  </si>
  <si>
    <t>“7.80%”</t>
  </si>
  <si>
    <t>소수 2자리 고정 권장</t>
  </si>
  <si>
    <t>B04</t>
  </si>
  <si>
    <t>대출기간(개월)</t>
  </si>
  <si>
    <t>숫자</t>
  </si>
  <si>
    <t>“20개월” 등</t>
  </si>
  <si>
    <t>만기일 자동계산용으로도 활용 가능</t>
  </si>
  <si>
    <t>B05</t>
  </si>
  <si>
    <t>취급예정일</t>
  </si>
  <si>
    <t>“2024.07.00”</t>
  </si>
  <si>
    <t>00일 처리도 실제 템플릿 그대로 반영 가능하게 허용</t>
  </si>
  <si>
    <t>B06</t>
  </si>
  <si>
    <t>상환방식</t>
  </si>
  <si>
    <t>드롭다운(원리금균등분할/원금균등/만기일시/원금자유/원리금균등+잔존만기일시 등)</t>
  </si>
  <si>
    <t>개요/상환방법/월 상환액</t>
  </si>
  <si>
    <t>상품별로 다름</t>
  </si>
  <si>
    <t>B07</t>
  </si>
  <si>
    <t>월 상환스케줄(월 상환액)</t>
  </si>
  <si>
    <t>숫자(백만원 단위 표기용)</t>
  </si>
  <si>
    <t>자동 계산 가능</t>
  </si>
  <si>
    <t>“원리금균등분할상환(월 53.4백만원)”</t>
  </si>
  <si>
    <t>원리금균등 등 공식을 엑셀에서 계산 후 텍스트에 삽입</t>
  </si>
  <si>
    <t>B08</t>
  </si>
  <si>
    <t>자금용도</t>
  </si>
  <si>
    <t>텍스트 (운영자금/리파이낸싱/채권매입재원 등)</t>
  </si>
  <si>
    <t>대출 개요에 “자금용도 운영자금”</t>
  </si>
  <si>
    <t>심사포인트</t>
  </si>
  <si>
    <t>B09</t>
  </si>
  <si>
    <t>총자산한도배수</t>
  </si>
  <si>
    <t>숫자(x.xx배)</t>
  </si>
  <si>
    <t>자동 (B/S에서 산출)</t>
  </si>
  <si>
    <t>“총자산한도 6.20배(’23.12 기준)”</t>
  </si>
  <si>
    <t>B10</t>
  </si>
  <si>
    <t>취급예정일 기준 대부업대출 잔액</t>
  </si>
  <si>
    <t>숫자(억원)</t>
  </si>
  <si>
    <t>수기 또는 자동(관계사 포함?)</t>
  </si>
  <si>
    <t>대출개요 표 안에 들어감</t>
  </si>
  <si>
    <t>심사기관별로 요구할 수 있음</t>
  </si>
  <si>
    <t>B11</t>
  </si>
  <si>
    <t>중도상환수수료 조건</t>
  </si>
  <si>
    <t>“취급 후 15개월 내 스케줄 외 상환 시 1%”</t>
  </si>
  <si>
    <t>전형적 코븐언트, 자동 문구화 가능(매개변수: 개월수, %)</t>
  </si>
  <si>
    <t>B12</t>
  </si>
  <si>
    <t>담보 조건 - 물적</t>
  </si>
  <si>
    <t>텍스트(템플릿+변수)</t>
  </si>
  <si>
    <t>반자동</t>
  </si>
  <si>
    <t>“당행 대출금액의 130%에 해당하는 신청사 신용대출채권 양도 담보”</t>
  </si>
  <si>
    <t>%와 담보자산 종류(신용채권/부동산담보채권 등)를 변수화</t>
  </si>
  <si>
    <t>B13</t>
  </si>
  <si>
    <t>담보 조건 - 인적</t>
  </si>
  <si>
    <t>“최대주주 000 한정근보증(대출금의 130%)”</t>
  </si>
  <si>
    <t>보증 범위(%), 보증인명 변수화</t>
  </si>
  <si>
    <t>B14</t>
  </si>
  <si>
    <t>담보유지 의무/사후관리</t>
  </si>
  <si>
    <t>“담보비율 130% 미달 시 익월 채권교체” 등</t>
  </si>
  <si>
    <t>사후관리 조항 세트화 가능</t>
  </si>
  <si>
    <t>C. 채권보전 / 기존 거래현황 (2. 채권보전 계획 + 신청사 당행 차입현황)</t>
  </si>
  <si>
    <t>C01</t>
  </si>
  <si>
    <t>담보비율 요건(%)</t>
  </si>
  <si>
    <t>“당행 대출금액의 130%”</t>
  </si>
  <si>
    <t>기본값 130% 많이 반복됨</t>
  </si>
  <si>
    <t>C02</t>
  </si>
  <si>
    <t>담보자산 유형</t>
  </si>
  <si>
    <t>드롭다운(신용대출채권/부동산담보/기타)</t>
  </si>
  <si>
    <t>물적담보 설명</t>
  </si>
  <si>
    <t>업체마다 다름</t>
  </si>
  <si>
    <t>C03</t>
  </si>
  <si>
    <t>담보자산 잔액(담보제공가능채권)</t>
  </si>
  <si>
    <t>“담보제공 가능 신용대출채권 약 57억원” 등</t>
  </si>
  <si>
    <t>보고서에 그대로 노출됨</t>
  </si>
  <si>
    <t>C04</t>
  </si>
  <si>
    <t>담보추적 방식</t>
  </si>
  <si>
    <t>드롭다운(월별확인서/담보실사/IP조회 등)</t>
  </si>
  <si>
    <t>“월별 채권내역 확인서 제출 또는 전산 제공”</t>
  </si>
  <si>
    <t>반정형</t>
  </si>
  <si>
    <t>C05</t>
  </si>
  <si>
    <t>보증인1 이름</t>
  </si>
  <si>
    <t>인적담보 표</t>
  </si>
  <si>
    <t>최대주주명</t>
  </si>
  <si>
    <t>C06</t>
  </si>
  <si>
    <t>보증인1 보증형태</t>
  </si>
  <si>
    <t>드롭다운(연대보증/한정근보증 등)</t>
  </si>
  <si>
    <t>C07</t>
  </si>
  <si>
    <t>보증한도비율</t>
  </si>
  <si>
    <t>“대출금의 130%”</t>
  </si>
  <si>
    <t>동일패턴</t>
  </si>
  <si>
    <t>C08</t>
  </si>
  <si>
    <t>보증인1 주요 경력</t>
  </si>
  <si>
    <t>보증인 경력 사항 표</t>
  </si>
  <si>
    <t>NICE 점수 등 포함 가능 여부</t>
  </si>
  <si>
    <t>C09</t>
  </si>
  <si>
    <t>기거래 이력(회차/누적취급액/정상여부)</t>
  </si>
  <si>
    <t>표(회차별, 금액별)</t>
  </si>
  <si>
    <t>일부 자동</t>
  </si>
  <si>
    <t>“2014년~현재까지 누적 몇 회, 누적취급액 ○○억원 정상거래”</t>
  </si>
  <si>
    <t>여신사내 레코드에서 끌어올 수 있는 값이면 자동화 가능</t>
  </si>
  <si>
    <t>C10</t>
  </si>
  <si>
    <t>신청사 및 관계사 당행 차입현황 테이블</t>
  </si>
  <si>
    <t>표(대출일, 만기일, 금리, 약정담보비율, 현 담보비율, 담보금액 등)</t>
  </si>
  <si>
    <t>수기/붙여넣기</t>
  </si>
  <si>
    <t>본문 및 별첨</t>
  </si>
  <si>
    <t>이 표는 붙여넣기 형태여도 Word에 그대로 박혀야 해서 Range 변환으로 자동화 가능</t>
  </si>
  <si>
    <t>D. 신청사 현황 (3. 신청사 현황)</t>
  </si>
  <si>
    <t>D1. 기본 법인 정보</t>
  </si>
  <si>
    <t>D01</t>
  </si>
  <si>
    <t>상호(법인명)</t>
  </si>
  <si>
    <t>“업체명”</t>
  </si>
  <si>
    <t>D02</t>
  </si>
  <si>
    <t>대표이사 성명</t>
  </si>
  <si>
    <t>“대표이사 ○○○”</t>
  </si>
  <si>
    <t>복수 대표(각자대표) 가능</t>
  </si>
  <si>
    <t>D03</t>
  </si>
  <si>
    <t>사업내용(업태/업종)</t>
  </si>
  <si>
    <t>“대부업” 등</t>
  </si>
  <si>
    <t>업종코드 통일 필요</t>
  </si>
  <si>
    <t>D04</t>
  </si>
  <si>
    <t>기업형태</t>
  </si>
  <si>
    <t>드롭다운(외감, 코스닥, 중소, 비외감 등)</t>
  </si>
  <si>
    <t>“기업형태 외감” 등</t>
  </si>
  <si>
    <t>D05</t>
  </si>
  <si>
    <t>본사 주소</t>
  </si>
  <si>
    <t>본사 소재지</t>
  </si>
  <si>
    <t>D06</t>
  </si>
  <si>
    <t>설립일</t>
  </si>
  <si>
    <t>“설립일자 2014년 12월 15일”</t>
  </si>
  <si>
    <t>포맷 유지</t>
  </si>
  <si>
    <t>D07</t>
  </si>
  <si>
    <t>자본금(자본금=납입자본금)</t>
  </si>
  <si>
    <t>숫자(백만원/억원)</t>
  </si>
  <si>
    <t>“자본금 1,142백만원” 등</t>
  </si>
  <si>
    <t>D08</t>
  </si>
  <si>
    <t>대부업 등록번호</t>
  </si>
  <si>
    <t>“2016-금감원-0037(대부업)”</t>
  </si>
  <si>
    <t>규제 준수 체크 요소</t>
  </si>
  <si>
    <t>D09</t>
  </si>
  <si>
    <t>사업자등록번호/법인등록번호</t>
  </si>
  <si>
    <t>신청사 개요 표</t>
  </si>
  <si>
    <t>심사 시 필수확인 항목</t>
  </si>
  <si>
    <t>D2. 주주현황</t>
  </si>
  <si>
    <t>D10</t>
  </si>
  <si>
    <t>주주명</t>
  </si>
  <si>
    <t>텍스트(복수행)</t>
  </si>
  <si>
    <t>주주현황 표 열</t>
  </si>
  <si>
    <t>최대주주 식별 필요</t>
  </si>
  <si>
    <t>D11</t>
  </si>
  <si>
    <t>주식수</t>
  </si>
  <si>
    <t>주주현황 표</t>
  </si>
  <si>
    <t>D12</t>
  </si>
  <si>
    <t>출자금액</t>
  </si>
  <si>
    <t>숫자(원)</t>
  </si>
  <si>
    <t>D13</t>
  </si>
  <si>
    <t>지분율(%)</t>
  </si>
  <si>
    <t>계산식: 해당주식수 / 전체주식수</t>
  </si>
  <si>
    <t>D14</t>
  </si>
  <si>
    <t>비고(최대주주/대표이사 등)</t>
  </si>
  <si>
    <t>보고서 문구에 그대로 나감</t>
  </si>
  <si>
    <t>D3. 경영진/대표이사 이력</t>
  </si>
  <si>
    <t>D20</t>
  </si>
  <si>
    <t>경영진 이름</t>
  </si>
  <si>
    <t>“박은섭(740112-1)” 등</t>
  </si>
  <si>
    <t>주민번호 마스킹 수준은 내부 기준에 맞춰야 함</t>
  </si>
  <si>
    <t>D21</t>
  </si>
  <si>
    <t>주요 경력(과거 직책)</t>
  </si>
  <si>
    <t>멀티라인 텍스트</t>
  </si>
  <si>
    <t>대표이사 경력사항 표</t>
  </si>
  <si>
    <t>템플릿화 가능 (“前 ○○”, “現 ○○”)</t>
  </si>
  <si>
    <t>D22</t>
  </si>
  <si>
    <t>현재직함</t>
  </si>
  <si>
    <t>경력사항 표</t>
  </si>
  <si>
    <t>D23</t>
  </si>
  <si>
    <t>신용등급/신용점수</t>
  </si>
  <si>
    <t>숫자 또는 텍스트</t>
  </si>
  <si>
    <t>보증인 정보 등</t>
  </si>
  <si>
    <t>NICE 점수 등 나오는 경우 있음</t>
  </si>
  <si>
    <t>D4. 회사 연혁</t>
  </si>
  <si>
    <t>D30</t>
  </si>
  <si>
    <t>연혁리스트</t>
  </si>
  <si>
    <t>연도별 bullet 텍스트</t>
  </si>
  <si>
    <t>“연혁” 표/리스트</t>
  </si>
  <si>
    <t>E. 재무현황 (3.(4)(5)(6) 재무제표, 주요지표, 차입금)</t>
  </si>
  <si>
    <t>E1. 재무제표(연간 혹은 가결산 기준 포함)</t>
  </si>
  <si>
    <t>E01</t>
  </si>
  <si>
    <t>기준일</t>
  </si>
  <si>
    <t>날짜(YYYY.MM 또는 YYYY.MM.DD)</t>
  </si>
  <si>
    <t>표 머리열 (2021.12, 2022.12…)</t>
  </si>
  <si>
    <t>여러 기간 칼럼</t>
  </si>
  <si>
    <t>E02</t>
  </si>
  <si>
    <t>자산총계</t>
  </si>
  <si>
    <t>숫자(백만원)</t>
  </si>
  <si>
    <t>재무상태표/요약재무제표</t>
  </si>
  <si>
    <t>E03</t>
  </si>
  <si>
    <t>부채총계</t>
  </si>
  <si>
    <t>재무상태표</t>
  </si>
  <si>
    <t>E04</t>
  </si>
  <si>
    <t>자본총계</t>
  </si>
  <si>
    <t>자동(E02-E03) 또는 수기</t>
  </si>
  <si>
    <t>내부소스에 따라 다르게</t>
  </si>
  <si>
    <t>E05</t>
  </si>
  <si>
    <t>자본금</t>
  </si>
  <si>
    <t>납입자본금과 동일해야 함</t>
  </si>
  <si>
    <t>E06</t>
  </si>
  <si>
    <t>현금성자산</t>
  </si>
  <si>
    <t>E07</t>
  </si>
  <si>
    <t>대출채권(장부가)</t>
  </si>
  <si>
    <t>골든/오케이 둘 다 핵심</t>
  </si>
  <si>
    <t>E08</t>
  </si>
  <si>
    <t>대출금(=대출채권 Gross)</t>
  </si>
  <si>
    <t>일부 보고서 표현 “대출금”을 별도 라인</t>
  </si>
  <si>
    <t>E09</t>
  </si>
  <si>
    <t>대손충당금</t>
  </si>
  <si>
    <t>숫자(백만원, 음수)</t>
  </si>
  <si>
    <t>재무상태표 및 충당금 현황</t>
  </si>
  <si>
    <t>충당금률 계산에 사용</t>
  </si>
  <si>
    <t>E10</t>
  </si>
  <si>
    <t>차입부채(또는 금융부채)</t>
  </si>
  <si>
    <t>단기/장기 쪼개서 들어가는 경우 있음</t>
  </si>
  <si>
    <t>E11</t>
  </si>
  <si>
    <t>매출액/영업수익</t>
  </si>
  <si>
    <t>손익계산서</t>
  </si>
  <si>
    <t>E12</t>
  </si>
  <si>
    <t>이자비용</t>
  </si>
  <si>
    <t>이자원가율에 쓰임</t>
  </si>
  <si>
    <t>E13</t>
  </si>
  <si>
    <t>대손상각비</t>
  </si>
  <si>
    <t>대손비용율 계산에 사용</t>
  </si>
  <si>
    <t>E14</t>
  </si>
  <si>
    <t>모집비용/판관비</t>
  </si>
  <si>
    <t>모집비용율, 판관비율 계산에 사용</t>
  </si>
  <si>
    <t>E15</t>
  </si>
  <si>
    <t>영업이익</t>
  </si>
  <si>
    <t>자동(E11 - 매출원가계정) 가능</t>
  </si>
  <si>
    <t>E16</t>
  </si>
  <si>
    <t>당기순이익</t>
  </si>
  <si>
    <t>손익계산서 / 요약재무제표</t>
  </si>
  <si>
    <t>ROA/ROE에 들어감</t>
  </si>
  <si>
    <t>E17</t>
  </si>
  <si>
    <t>법인세차감전 순이익</t>
  </si>
  <si>
    <t>주요지표용</t>
  </si>
  <si>
    <t>일부 보고서에서 지표로 사용</t>
  </si>
  <si>
    <t>E2. 주요지표 (보고서에서 별도로 제시되는 KPI)</t>
  </si>
  <si>
    <t>E20</t>
  </si>
  <si>
    <t>총자산증가율</t>
  </si>
  <si>
    <t>(당기총자산-전기총자산)/전기총자산</t>
  </si>
  <si>
    <t>“총자산증가율 x%”</t>
  </si>
  <si>
    <t>전기 대비 기준. 전기 총자산 0 등 특이치 예외 처리</t>
  </si>
  <si>
    <t>E21</t>
  </si>
  <si>
    <t>대출채권 증가율</t>
  </si>
  <si>
    <t>(당기대출채권-전기대출채권)/전기대출채권</t>
  </si>
  <si>
    <t>“대출채권 증가율 x%”</t>
  </si>
  <si>
    <t>E22</t>
  </si>
  <si>
    <t>자기자본비율</t>
  </si>
  <si>
    <t>자기자본 / 총자산</t>
  </si>
  <si>
    <t>“자기자본비율 x%”</t>
  </si>
  <si>
    <t>자기자본=자본총계</t>
  </si>
  <si>
    <t>E23</t>
  </si>
  <si>
    <t>법인세차감전 순이익율</t>
  </si>
  <si>
    <t>법인세차감전순이익 / 총자산</t>
  </si>
  <si>
    <t>그대로 사용</t>
  </si>
  <si>
    <t>정의 고정 필요</t>
  </si>
  <si>
    <t>E24</t>
  </si>
  <si>
    <t>ROA</t>
  </si>
  <si>
    <t>당기순이익 / 총자산</t>
  </si>
  <si>
    <t>ROA(총자산수익률)</t>
  </si>
  <si>
    <t>E25</t>
  </si>
  <si>
    <t>ROE</t>
  </si>
  <si>
    <t>당기순이익 / 자기자본</t>
  </si>
  <si>
    <t>ROE(자기자본이익률)</t>
  </si>
  <si>
    <t>자기자본 평균 vs 기말? 지금 보고서는 기말 기준으로 보임</t>
  </si>
  <si>
    <t>E26</t>
  </si>
  <si>
    <t>영업수익대 영업이익률</t>
  </si>
  <si>
    <t>영업이익 / 영업수익</t>
  </si>
  <si>
    <t>영업수익대 영업이익율 x%</t>
  </si>
  <si>
    <t>명칭 그대로 사용</t>
  </si>
  <si>
    <t>E27</t>
  </si>
  <si>
    <t>영업수익대 순이익률</t>
  </si>
  <si>
    <t>당기순이익 / 영업수익</t>
  </si>
  <si>
    <t>영업수익대 순이익율 x%</t>
  </si>
  <si>
    <t>E28</t>
  </si>
  <si>
    <t>대출채권평잔</t>
  </si>
  <si>
    <t>(전기대출채권+당기대출채권)/2</t>
  </si>
  <si>
    <t>“대출채권평잔 xxxx”</t>
  </si>
  <si>
    <t>E29</t>
  </si>
  <si>
    <t>운용수익율(A)</t>
  </si>
  <si>
    <t>대출금이자수익 / 대출채권평잔</t>
  </si>
  <si>
    <t>“운용수익율(A)”</t>
  </si>
  <si>
    <t>A</t>
  </si>
  <si>
    <t>E30</t>
  </si>
  <si>
    <t>이자원가율(B)</t>
  </si>
  <si>
    <t>차입금이자비용 / 대출채권평잔</t>
  </si>
  <si>
    <t>“이자원가율(B)”</t>
  </si>
  <si>
    <t>B</t>
  </si>
  <si>
    <t>E31</t>
  </si>
  <si>
    <t>대손비용율(C)</t>
  </si>
  <si>
    <t>대손상각비 / 대출채권평잔</t>
  </si>
  <si>
    <t>“대손비용율(C)”</t>
  </si>
  <si>
    <t>C</t>
  </si>
  <si>
    <t>E32</t>
  </si>
  <si>
    <t>모집비용율(D)</t>
  </si>
  <si>
    <t>모집비용 / 대출채권평잔</t>
  </si>
  <si>
    <t>“모집비용율(D)”</t>
  </si>
  <si>
    <t>D</t>
  </si>
  <si>
    <t>E33</t>
  </si>
  <si>
    <t>판관비용율(E)</t>
  </si>
  <si>
    <t>기타관리비 / 대출채권평잔</t>
  </si>
  <si>
    <t>“기타관리비율(E)”</t>
  </si>
  <si>
    <t>E</t>
  </si>
  <si>
    <t>E34</t>
  </si>
  <si>
    <t>영업이익율</t>
  </si>
  <si>
    <t>A-B-C-D-E</t>
  </si>
  <si>
    <t>“영업이익율(A-B-C-D-E)”</t>
  </si>
  <si>
    <t>구조 고정식 -&gt; 엑셀에서 바로 산식 가능</t>
  </si>
  <si>
    <t>E3. 차입금 현황</t>
  </si>
  <si>
    <t>(별첨 및 본문 둘 다에 들어감. 은행/여전사/저축은행/사모사채 등 소스별로 요약표 + 상세표)</t>
  </si>
  <si>
    <t>E40</t>
  </si>
  <si>
    <t>차입처 구분</t>
  </si>
  <si>
    <t>드롭다운(1금융/저축은행/여전사/사모사채/종금사/일반투자자 등)</t>
  </si>
  <si>
    <t>별첨 표</t>
  </si>
  <si>
    <t>E41</t>
  </si>
  <si>
    <t>한도금액</t>
  </si>
  <si>
    <t>E42</t>
  </si>
  <si>
    <t>대출잔액</t>
  </si>
  <si>
    <t>별첨 표 및 요약표 합계</t>
  </si>
  <si>
    <t>E43</t>
  </si>
  <si>
    <t>금리</t>
  </si>
  <si>
    <t>E44</t>
  </si>
  <si>
    <t>차입일</t>
  </si>
  <si>
    <t>E45</t>
  </si>
  <si>
    <t>만기일</t>
  </si>
  <si>
    <t>E46</t>
  </si>
  <si>
    <t>드롭다운(원금균등/원리금균등/만기일시 등)</t>
  </si>
  <si>
    <t>E47</t>
  </si>
  <si>
    <t>담보제공 내역</t>
  </si>
  <si>
    <t>텍스트(신용채권/부동산/무담보 등)</t>
  </si>
  <si>
    <t>E48</t>
  </si>
  <si>
    <t>차입구조 요약</t>
  </si>
  <si>
    <t>합계/비율(%)</t>
  </si>
  <si>
    <t>자동 (피벗)</t>
  </si>
  <si>
    <t>“저축은행 43.2%” 등 요약표</t>
  </si>
  <si>
    <t>F. 영업현황 (4. 신청사 영업현황)</t>
  </si>
  <si>
    <t>F01</t>
  </si>
  <si>
    <t>주요상품명</t>
  </si>
  <si>
    <t>“신용대출 / 후순위 소액담보대출 / 지분대출 …”</t>
  </si>
  <si>
    <t>F02</t>
  </si>
  <si>
    <t>상품 대상</t>
  </si>
  <si>
    <t>“개시자, 회생자, 회복자 …” 등</t>
  </si>
  <si>
    <t>규제 민감도 有</t>
  </si>
  <si>
    <t>F03</t>
  </si>
  <si>
    <t>한도(백만원)</t>
  </si>
  <si>
    <t>상품 테이블</t>
  </si>
  <si>
    <t>F04</t>
  </si>
  <si>
    <t>금리(%)</t>
  </si>
  <si>
    <t>법정 최고금리 등과 비교될 여지</t>
  </si>
  <si>
    <t>F05</t>
  </si>
  <si>
    <t>대출기간(개월 또는 M)</t>
  </si>
  <si>
    <t>“24M~36M” 같이 범위형 가능</t>
  </si>
  <si>
    <t>F06</t>
  </si>
  <si>
    <t>드롭다운(원리금균등/만기일시/원금자유 등)</t>
  </si>
  <si>
    <t>F07</t>
  </si>
  <si>
    <t>월별 자산/부채/자본/당기손익(누적)</t>
  </si>
  <si>
    <t>표(월 시계열)</t>
  </si>
  <si>
    <t>수기(붙여넣기)</t>
  </si>
  <si>
    <t>월별 영업현황 표</t>
  </si>
  <si>
    <t>나중에 그래프화 가능</t>
  </si>
  <si>
    <t>F08</t>
  </si>
  <si>
    <t>월별 대출취급(신규/재대출/소계)</t>
  </si>
  <si>
    <t>월별 대출취급 및 상환 현황</t>
  </si>
  <si>
    <t>신규/재대출 구분 필수</t>
  </si>
  <si>
    <t>F09</t>
  </si>
  <si>
    <t>월별 회수액(원금/이자)</t>
  </si>
  <si>
    <t>동일 표</t>
  </si>
  <si>
    <t>상환능력 판단자료</t>
  </si>
  <si>
    <t>F10</t>
  </si>
  <si>
    <t>월별 대출잔액</t>
  </si>
  <si>
    <t>“월간 순증액” 계산에 사용</t>
  </si>
  <si>
    <t>F11</t>
  </si>
  <si>
    <t>월별 월간 순증액</t>
  </si>
  <si>
    <t>자동 (당월잔액-전월잔액)</t>
  </si>
  <si>
    <t>자동</t>
  </si>
  <si>
    <t>단위 백만원</t>
  </si>
  <si>
    <t>F12</t>
  </si>
  <si>
    <t>월별 대출건수 / 평균단가</t>
  </si>
  <si>
    <t>수기+자동(평균단가=금액÷건수)</t>
  </si>
  <si>
    <t>월별 현황</t>
  </si>
  <si>
    <t>소액 다건인지 중대형인지 파악용</t>
  </si>
  <si>
    <t>F13</t>
  </si>
  <si>
    <t>평균이자율</t>
  </si>
  <si>
    <t>자동 또는 수기</t>
  </si>
  <si>
    <t>F14</t>
  </si>
  <si>
    <t>대출규모 구간별 잔액 (300만 이하, 500만 이하 … 2,000만 초과 등)</t>
  </si>
  <si>
    <t>월별 현황 하단 구간별 잔액</t>
  </si>
  <si>
    <t>G. 관계사 현황 (오케이 ↔ 골든 식 구조)</t>
  </si>
  <si>
    <t>G01</t>
  </si>
  <si>
    <t>관계사 명칭</t>
  </si>
  <si>
    <t>“관계사 ㈜오케이파이낸셜대부” 등</t>
  </si>
  <si>
    <t>해당 보고서에서 ‘관계사’ 또는 ‘보증사’로 호출되는 대상</t>
  </si>
  <si>
    <t>G02</t>
  </si>
  <si>
    <t>관계사 대표자</t>
  </si>
  <si>
    <t>관계사 개요표</t>
  </si>
  <si>
    <t>G03</t>
  </si>
  <si>
    <t>관계사 자본금</t>
  </si>
  <si>
    <t>G04</t>
  </si>
  <si>
    <t>관계사 재무요약 (자산총계, 부채총계, 자본총계, 영업이익, 당기순이익 등)</t>
  </si>
  <si>
    <t>표(연도별)</t>
  </si>
  <si>
    <t>관계사 요약재무제표</t>
  </si>
  <si>
    <t>오케이↔골든 서로 cross reference 형태</t>
  </si>
  <si>
    <t>G05</t>
  </si>
  <si>
    <t>관계사와의 여신/보증관계</t>
  </si>
  <si>
    <t>“관계사 A 기여신 잔액 ○억원”</t>
  </si>
  <si>
    <t>내부 익스포저 체크용</t>
  </si>
  <si>
    <t>G06</t>
  </si>
  <si>
    <t>관계사 차입구조 요약</t>
  </si>
  <si>
    <t>표 / 피벗</t>
  </si>
  <si>
    <t>자동 가능</t>
  </si>
  <si>
    <t>관계사 차입금 요약표</t>
  </si>
  <si>
    <t>최종 판단에서 함께 본다는 점이 심사상 핵심이므로 빠지면 안 됨</t>
  </si>
  <si>
    <t>H. 최종의견 (심사/영업부서 코멘트)</t>
  </si>
  <si>
    <t>H01</t>
  </si>
  <si>
    <t>회사 요약 코멘트</t>
  </si>
  <si>
    <t>자유 텍스트</t>
  </si>
  <si>
    <t>“신청사는 20xx년 설립되어…” 문단 첫 줄</t>
  </si>
  <si>
    <t>회사 개요 요약</t>
  </si>
  <si>
    <t>H02</t>
  </si>
  <si>
    <t>재무 상태 판단</t>
  </si>
  <si>
    <t>자유 텍스트(템플릿 + 변수 가능)</t>
  </si>
  <si>
    <t>“’23년말 당기순이익 xx억원 시현하였으며…”</t>
  </si>
  <si>
    <t>E섹션 값 치환 가능</t>
  </si>
  <si>
    <t>H03</t>
  </si>
  <si>
    <t>리스크 인지 사항</t>
  </si>
  <si>
    <t>“연체율 다소 상승 / 충당금 적립비율 xx% 등”</t>
  </si>
  <si>
    <t>연체율, 총자산한도 규제준수 여부 반영</t>
  </si>
  <si>
    <t>H04</t>
  </si>
  <si>
    <t>상환가능성 / 담보커버 판단</t>
  </si>
  <si>
    <t>자유 텍스트(템플릿+비율)</t>
  </si>
  <si>
    <t>“담보비율 130% 유지 가능으로 회수에 문제 없을 것으로 판단됨”</t>
  </si>
  <si>
    <t>C01, C03 자동 삽입 가능</t>
  </si>
  <si>
    <t>H05</t>
  </si>
  <si>
    <t>승인 제안 문구</t>
  </si>
  <si>
    <t>자유 텍스트(Yes/Conditional)</t>
  </si>
  <si>
    <t>마지막 문장</t>
  </si>
  <si>
    <t>내부 컴플라이언스 톤 유지 필요</t>
  </si>
  <si>
    <t>상호 반드시 등기 상호 기준. Mandatory Correction</t>
  </si>
  <si>
    <t>억환산 표기와 원 표기를 동시에 넣어야 하므로 두 값 모두 관리 권장. Mandatory Correction</t>
  </si>
  <si>
    <t>계산식: 총자산 / 자기자본. Mandatory Correction 용어 동일 유지</t>
  </si>
  <si>
    <t>A09와 동일 값 매핑. Mandatory Correction</t>
  </si>
  <si>
    <t>단위 표기 반드시 일관. Mandatory Correction</t>
  </si>
  <si>
    <t>단위는 “백만원”. Mandatory Correction</t>
  </si>
  <si>
    <t>보고서에서 “영업수익” vs “매출액” 용어 혼용. Mandatory Correction: 텍스트 표준화 필요</t>
  </si>
  <si>
    <t>총자산은 보통 기말자산 사용 중. 평균자산으로 바꾸면 정의 변경 → Mandatory Correction</t>
  </si>
  <si>
    <t>충당금 차감 전 대출채권(=‘대출금’으로 정의) 사용. Mandatory Correction</t>
  </si>
  <si>
    <t>정의: 누적이자수익/잔액 등 회사별 정의 주의. Mandatory Correction</t>
  </si>
  <si>
    <t>포트폴리오 구성 분석. 구간 라벨은 그대로 써야 함 (임의로 바꾸면 안 됨). Mandatory Correction</t>
  </si>
  <si>
    <t>&gt;&gt; 개별 보고서 해당여부</t>
    <phoneticPr fontId="1" type="noConversion"/>
  </si>
  <si>
    <t>(주)오케이파이낸셜대부 신청의견(신규)_24.07_최종</t>
  </si>
  <si>
    <t>신청의견_(주)골든캐피탈대부_24.07_최종</t>
  </si>
  <si>
    <t>신청의견_(주)안전대부_24.06</t>
  </si>
  <si>
    <t>o</t>
    <phoneticPr fontId="1" type="noConversion"/>
  </si>
  <si>
    <t>자동화 필요여부</t>
    <phoneticPr fontId="1" type="noConversion"/>
  </si>
  <si>
    <t>불필요</t>
  </si>
  <si>
    <t>불필요</t>
    <phoneticPr fontId="1" type="noConversion"/>
  </si>
  <si>
    <t>필요</t>
  </si>
  <si>
    <t>필요</t>
    <phoneticPr fontId="1" type="noConversion"/>
  </si>
  <si>
    <t>애매</t>
  </si>
  <si>
    <t>애매</t>
    <phoneticPr fontId="1" type="noConversion"/>
  </si>
  <si>
    <t>x</t>
    <phoneticPr fontId="1" type="noConversion"/>
  </si>
  <si>
    <t>차주</t>
    <phoneticPr fontId="1" type="noConversion"/>
  </si>
  <si>
    <t>금융기관</t>
    <phoneticPr fontId="1" type="noConversion"/>
  </si>
  <si>
    <t>Source</t>
    <phoneticPr fontId="1" type="noConversion"/>
  </si>
  <si>
    <t>금융기관</t>
    <phoneticPr fontId="1" type="noConversion"/>
  </si>
  <si>
    <t>자체</t>
    <phoneticPr fontId="1" type="noConversion"/>
  </si>
  <si>
    <t>재 무 상 태 표</t>
  </si>
  <si>
    <t>제 11 (당)기 2024년 12월 31일 현재</t>
  </si>
  <si>
    <t>제 10 (전)기 2023년 12월 31일 현재</t>
  </si>
  <si>
    <t>주식회사 오케이파이낸셜대부</t>
  </si>
  <si>
    <t>과목</t>
  </si>
  <si>
    <t>Ⅰ. 현금및예치금</t>
  </si>
  <si>
    <t>Ⅱ. 대출채권</t>
  </si>
  <si>
    <t>Ⅲ. 유형자산(주석3,6)</t>
  </si>
  <si>
    <t>Ⅳ. 무형자산(주석6)</t>
  </si>
  <si>
    <t>Ⅴ. 기타자산</t>
  </si>
  <si>
    <t>Ⅰ. 차입부채</t>
  </si>
  <si>
    <t>Ⅱ. 기타부채</t>
  </si>
  <si>
    <t>Ⅰ. 자본금(주석11)</t>
  </si>
  <si>
    <t>Ⅱ. 자본잉여금(주석11)</t>
  </si>
  <si>
    <t>Ⅲ. 기타포괄손익누계액(주석11)</t>
  </si>
  <si>
    <t>Ⅳ. 이익잉여금(주석11)</t>
  </si>
  <si>
    <t>부채및자본총계</t>
  </si>
  <si>
    <t>자             산</t>
  </si>
  <si>
    <t>자   산   총   계</t>
  </si>
  <si>
    <t>부   채   총   계</t>
  </si>
  <si>
    <t>자   본   총   계</t>
  </si>
  <si>
    <t>-&gt; 양식유지해서 워드로 I21</t>
    <phoneticPr fontId="1" type="noConversion"/>
  </si>
  <si>
    <t xml:space="preserve"> Raw data(자동으로엑셀에 입력) 셋팅된 엑셀 수식 적용시(특정셀 위치 반영) 결과값 도출 가능한지 </t>
    <phoneticPr fontId="1" type="noConversion"/>
  </si>
  <si>
    <t xml:space="preserve">결과 데이터를 보고서에 옮길 수 있는지 </t>
    <phoneticPr fontId="1" type="noConversion"/>
  </si>
  <si>
    <t>ㅇ</t>
    <phoneticPr fontId="1" type="noConversion"/>
  </si>
  <si>
    <t>총자산증가율</t>
    <phoneticPr fontId="1" type="noConversion"/>
  </si>
  <si>
    <t>cal</t>
    <phoneticPr fontId="1" type="noConversion"/>
  </si>
  <si>
    <t>차주한테 메일로 받은 raw데이터가 자동으로 붙어야함</t>
    <phoneticPr fontId="1" type="noConversion"/>
  </si>
  <si>
    <t>구분</t>
    <phoneticPr fontId="1" type="noConversion"/>
  </si>
  <si>
    <t>1금융</t>
    <phoneticPr fontId="1" type="noConversion"/>
  </si>
  <si>
    <t>엑셀</t>
    <phoneticPr fontId="1" type="noConversion"/>
  </si>
  <si>
    <t>잔액</t>
    <phoneticPr fontId="1" type="noConversion"/>
  </si>
  <si>
    <t>비율</t>
    <phoneticPr fontId="1" type="noConversion"/>
  </si>
  <si>
    <t xml:space="preserve">최종의견 </t>
    <phoneticPr fontId="1" type="noConversion"/>
  </si>
  <si>
    <t>4.3.1</t>
    <phoneticPr fontId="1" type="noConversion"/>
  </si>
  <si>
    <t xml:space="preserve">신청사 A09는 D06설립 &amp; D03,,, 시현한 </t>
    <phoneticPr fontId="1" type="noConversion"/>
  </si>
  <si>
    <t>업  체  명</t>
  </si>
  <si>
    <t>㈜안전대부</t>
  </si>
  <si>
    <t>법인(사업)등록번호       285011-0210083  (128-86-69844)</t>
  </si>
  <si>
    <t>대출금액              금삼십억원(\3,000,000,000)                     대출과목</t>
  </si>
  <si>
    <t>취급예정일                             2024.06.00</t>
  </si>
  <si>
    <t>취급수수료</t>
  </si>
  <si>
    <t>상환방법</t>
  </si>
  <si>
    <t>채권보전</t>
  </si>
  <si>
    <t xml:space="preserve">20개 표 </t>
    <phoneticPr fontId="1" type="noConversion"/>
  </si>
  <si>
    <t>대출채권</t>
  </si>
  <si>
    <t>대출금</t>
  </si>
  <si>
    <t>기타자산</t>
  </si>
  <si>
    <t>기타부채</t>
  </si>
  <si>
    <t>모집비용</t>
  </si>
  <si>
    <t>기타판관비</t>
  </si>
  <si>
    <t>업 체 명</t>
  </si>
  <si>
    <t>㈜골든캐피탈대부</t>
  </si>
  <si>
    <t>대 표 자</t>
  </si>
  <si>
    <t>박은섭, 권덕주(각자대표)</t>
  </si>
  <si>
    <t>사 업 내 용</t>
  </si>
  <si>
    <t>대 부 업</t>
  </si>
  <si>
    <t>기 업 형 태</t>
  </si>
  <si>
    <t>외 감</t>
  </si>
  <si>
    <t>본 사 소 재 지</t>
  </si>
  <si>
    <t>서울특별시 영등포구 국회대로74실 4, 6층</t>
  </si>
  <si>
    <t>(여의도동, KC TOWER)</t>
  </si>
  <si>
    <t>설 립 일 자</t>
  </si>
  <si>
    <t>자 본 금</t>
  </si>
  <si>
    <t>1,000백만원</t>
  </si>
  <si>
    <t>대 부 업 등 록</t>
  </si>
  <si>
    <t>2016-금감원-0024(대부업)</t>
  </si>
  <si>
    <t>인 원 수</t>
  </si>
  <si>
    <t>47명</t>
  </si>
  <si>
    <t>사업자등록번호</t>
  </si>
  <si>
    <t>264-81-07004</t>
  </si>
  <si>
    <t>주 주 명</t>
  </si>
  <si>
    <t>주 식 수</t>
  </si>
  <si>
    <t>금 액</t>
  </si>
  <si>
    <t>지 분 율</t>
  </si>
  <si>
    <t>비 고</t>
  </si>
  <si>
    <t>김봉철</t>
  </si>
  <si>
    <t>최대주주</t>
  </si>
  <si>
    <t>김도현</t>
  </si>
  <si>
    <t>김현영</t>
  </si>
  <si>
    <t>박은섭</t>
  </si>
  <si>
    <t>대표이사(각자대표)</t>
  </si>
  <si>
    <t>권덕주</t>
  </si>
  <si>
    <t>허정우</t>
  </si>
  <si>
    <t>합 계</t>
  </si>
  <si>
    <t>항 목</t>
  </si>
  <si>
    <t>(대손충당금)</t>
  </si>
  <si>
    <t>차입부채</t>
  </si>
  <si>
    <t>자본(이익)잉여금</t>
  </si>
  <si>
    <t>영업수익</t>
  </si>
  <si>
    <t>대출금이자수익</t>
  </si>
  <si>
    <t>대출채권처분이익</t>
  </si>
  <si>
    <t>지분법이익</t>
  </si>
  <si>
    <t>영업비용</t>
  </si>
  <si>
    <t>대손비용</t>
  </si>
  <si>
    <t>감가상각비</t>
  </si>
  <si>
    <t>무형자산상각비</t>
  </si>
  <si>
    <t>영업외손익</t>
  </si>
  <si>
    <t>구 분</t>
  </si>
  <si>
    <t>2021.12.</t>
  </si>
  <si>
    <t>2022.12.</t>
  </si>
  <si>
    <t>(당기-전기총자산) / 전기 총자산</t>
  </si>
  <si>
    <t>(당기-전기대출자산) / 전기 대출자산</t>
  </si>
  <si>
    <t>자기자본 비율</t>
  </si>
  <si>
    <t>ROA(총자산수익율)</t>
  </si>
  <si>
    <t>ROE(자기자본이익율)</t>
  </si>
  <si>
    <t>영업수익대 영업이익율</t>
  </si>
  <si>
    <t>영업수익대 순이익율</t>
  </si>
  <si>
    <t>(전기+당기 대출채권) / 2</t>
  </si>
  <si>
    <t>기타 판관비용율(E)</t>
  </si>
  <si>
    <t>영업이익율(A-B-C-D-E)</t>
  </si>
  <si>
    <t>대상</t>
  </si>
  <si>
    <t>한 도</t>
  </si>
  <si>
    <t>대출기간</t>
  </si>
  <si>
    <t>일반대출</t>
  </si>
  <si>
    <t>직장인, 사업자, 기타</t>
  </si>
  <si>
    <t>3,000만원</t>
  </si>
  <si>
    <t>60개월 이내</t>
  </si>
  <si>
    <t>원리금균등/자유</t>
  </si>
  <si>
    <t>연금리 20% 이내</t>
  </si>
  <si>
    <t>103,42</t>
  </si>
  <si>
    <t>납입자본금</t>
  </si>
  <si>
    <t>당기손익(누적)</t>
  </si>
  <si>
    <r>
      <t>대출건수(</t>
    </r>
    <r>
      <rPr>
        <sz val="9"/>
        <color theme="1"/>
        <rFont val="SimSun"/>
        <charset val="134"/>
      </rPr>
      <t>月</t>
    </r>
    <r>
      <rPr>
        <sz val="9"/>
        <color theme="1"/>
        <rFont val="맑은 고딕"/>
        <family val="3"/>
        <charset val="129"/>
      </rPr>
      <t>)</t>
    </r>
  </si>
  <si>
    <r>
      <t>대출금액(</t>
    </r>
    <r>
      <rPr>
        <sz val="9"/>
        <color theme="1"/>
        <rFont val="SimSun"/>
        <charset val="134"/>
      </rPr>
      <t>月</t>
    </r>
    <r>
      <rPr>
        <sz val="9"/>
        <color theme="1"/>
        <rFont val="맑은 고딕"/>
        <family val="3"/>
        <charset val="129"/>
      </rPr>
      <t>)</t>
    </r>
  </si>
  <si>
    <t>총 대출건수</t>
  </si>
  <si>
    <t>총 대출잔액</t>
  </si>
  <si>
    <t>차입금</t>
  </si>
  <si>
    <t>총자산한도</t>
  </si>
  <si>
    <t>※ 당기순손실 사유 : ’22년 4분기 영업 중단의 여파로 대출채권이 감소됨에 따라 대출채권 평균잔액이 지속 감소하였고 연체율의 증가로 인한 대손상각비 증가, 차입 평균 금리 인상에 따른 비용 증가 등의 사유로 당기순손실 발생 되었으나 ‘24년 대출자산 순증에 따른 이자수익 증가 및 기존고객의 추가·재대출 등 자체 영업 활성화에 따른 모집 비용 감소 및 조달금리 안정화 등을 통해 흑자전환 계획임.</t>
  </si>
  <si>
    <r>
      <t>-</t>
    </r>
    <r>
      <rPr>
        <sz val="7"/>
        <color theme="1"/>
        <rFont val="Times New Roman"/>
        <family val="1"/>
      </rPr>
      <t xml:space="preserve">  </t>
    </r>
    <r>
      <rPr>
        <sz val="9"/>
        <color theme="1"/>
        <rFont val="맑은 고딕"/>
        <family val="3"/>
        <charset val="129"/>
        <scheme val="minor"/>
      </rPr>
      <t>신청사 ㈜오케이파이낸셜대부는 당행과 14회, 누적취급액 220억원 정상거래했던 기 거래업체로서, 2023년 12월 말 당기순이익 1.4억원을 시현하였음.</t>
    </r>
  </si>
  <si>
    <r>
      <t>-</t>
    </r>
    <r>
      <rPr>
        <sz val="7"/>
        <color theme="1"/>
        <rFont val="Times New Roman"/>
        <family val="1"/>
      </rPr>
      <t xml:space="preserve">  </t>
    </r>
    <r>
      <rPr>
        <sz val="9"/>
        <color theme="1"/>
        <rFont val="맑은 고딕"/>
        <family val="3"/>
        <charset val="129"/>
        <scheme val="minor"/>
      </rPr>
      <t>신청사의 기 거래현황 및 관계사 ㈜골든캐피탈대부와 최대주주 김봉철 연대보증 입보사항 고려 시 본건 채권 회수에 문제없을 것으로 판단되어 10억원 신규 신청 함.</t>
    </r>
  </si>
  <si>
    <t>별첨1. ㈜오케이파이낸셜대부 차입금 현황</t>
    <phoneticPr fontId="1" type="noConversion"/>
  </si>
  <si>
    <t>은행명</t>
  </si>
  <si>
    <t>담보제공</t>
  </si>
  <si>
    <t>㈜우리은행</t>
  </si>
  <si>
    <t>원금균등</t>
  </si>
  <si>
    <t>신탁등기(시설자금)</t>
  </si>
  <si>
    <t>㈜국민은행</t>
  </si>
  <si>
    <t>MOR 3M 변동+3.54%</t>
  </si>
  <si>
    <t>만기일시</t>
  </si>
  <si>
    <t>무담보</t>
  </si>
  <si>
    <t>㈜신한은행</t>
  </si>
  <si>
    <t>금융권 소계</t>
  </si>
  <si>
    <t>㈜유진대부금융</t>
  </si>
  <si>
    <t>부동산</t>
  </si>
  <si>
    <t>㈜조이크레디트대부금융</t>
  </si>
  <si>
    <t>원리금균등</t>
  </si>
  <si>
    <t>일반대출 소계</t>
  </si>
  <si>
    <t>㈜영진저축은행</t>
  </si>
  <si>
    <t>웰컴저축은행(주)</t>
  </si>
  <si>
    <t>신용채권</t>
  </si>
  <si>
    <t>저축은행 소계</t>
  </si>
  <si>
    <t>제이비우리캐피탈㈜</t>
  </si>
  <si>
    <t>여전사 소계</t>
  </si>
  <si>
    <t>무보증사모사채</t>
  </si>
  <si>
    <t>(총 46건) 소계</t>
  </si>
  <si>
    <t>7.0~10.0%</t>
  </si>
  <si>
    <t>합계</t>
  </si>
  <si>
    <t>※ ㈜오케이파이낸셜대부 차입금 요약표</t>
  </si>
  <si>
    <t>비율(%)</t>
  </si>
  <si>
    <t>금 융 권</t>
  </si>
  <si>
    <t>여 전 사</t>
  </si>
  <si>
    <t>저 축 은 행</t>
  </si>
  <si>
    <t>대 부 사</t>
  </si>
  <si>
    <t>사 모 사 채</t>
  </si>
  <si>
    <t>별첨2. ㈜골든캐피탈대부 차입금 현황</t>
  </si>
  <si>
    <t>(2024.06.30.기준, 단위 : 백만원)</t>
  </si>
  <si>
    <t>국민은행</t>
  </si>
  <si>
    <t>은행</t>
  </si>
  <si>
    <t>농협은행</t>
  </si>
  <si>
    <t>대구은행</t>
  </si>
  <si>
    <t>우리은행</t>
  </si>
  <si>
    <t>1금융 소계</t>
  </si>
  <si>
    <t>롯데카드</t>
  </si>
  <si>
    <t>여전사</t>
  </si>
  <si>
    <t>BC카드</t>
  </si>
  <si>
    <t>우리카드</t>
  </si>
  <si>
    <t>BNK캐피탈</t>
  </si>
  <si>
    <t>신한캐피탈</t>
  </si>
  <si>
    <t>에코캐피탈</t>
  </si>
  <si>
    <t>금화저축은행</t>
  </si>
  <si>
    <t>저축은행</t>
  </si>
  <si>
    <t>남양저축은행</t>
  </si>
  <si>
    <t>다올</t>
  </si>
  <si>
    <t>대한</t>
  </si>
  <si>
    <t>더케이</t>
  </si>
  <si>
    <t>모아</t>
  </si>
  <si>
    <t>삼정</t>
  </si>
  <si>
    <t>삼호</t>
  </si>
  <si>
    <t>세람</t>
  </si>
  <si>
    <t>스마트</t>
  </si>
  <si>
    <t>안국</t>
  </si>
  <si>
    <t>안양</t>
  </si>
  <si>
    <t>NH</t>
  </si>
  <si>
    <t>후취</t>
  </si>
  <si>
    <t>영진</t>
  </si>
  <si>
    <t>부동산(질권)</t>
  </si>
  <si>
    <t>OSB</t>
  </si>
  <si>
    <t>오케이</t>
  </si>
  <si>
    <t>우리금융</t>
  </si>
  <si>
    <t>웰컴</t>
  </si>
  <si>
    <t>인천</t>
  </si>
  <si>
    <t>참</t>
  </si>
  <si>
    <t>청주</t>
  </si>
  <si>
    <t>KB</t>
  </si>
  <si>
    <t>키움</t>
  </si>
  <si>
    <t>키움YES</t>
  </si>
  <si>
    <t>우리종합금융</t>
  </si>
  <si>
    <t>종금사</t>
  </si>
  <si>
    <t>종금사 소계</t>
  </si>
  <si>
    <t>일반투자자(13건)</t>
  </si>
  <si>
    <t>일반</t>
  </si>
  <si>
    <t>원금자유/만기일시</t>
  </si>
  <si>
    <t>/원리금균등</t>
  </si>
  <si>
    <t>일반 소계</t>
  </si>
  <si>
    <t>무보증사모사채(83건) 사모사채</t>
  </si>
  <si>
    <t>6.0~9.0%</t>
  </si>
  <si>
    <t>무보증사모사채 소계</t>
  </si>
  <si>
    <t>일 반 대 출</t>
  </si>
  <si>
    <t>종 금 사</t>
  </si>
  <si>
    <t>※ ㈜골든캐피탈대부 차입금 요약표</t>
  </si>
  <si>
    <t>총자산한도 현황</t>
  </si>
  <si>
    <r>
      <t>1)</t>
    </r>
    <r>
      <rPr>
        <b/>
        <sz val="7"/>
        <color theme="1"/>
        <rFont val="Times New Roman"/>
        <family val="1"/>
      </rPr>
      <t xml:space="preserve">  </t>
    </r>
    <r>
      <rPr>
        <sz val="8"/>
        <color theme="1"/>
        <rFont val="맑은 고딕"/>
        <family val="3"/>
        <charset val="129"/>
        <scheme val="minor"/>
      </rPr>
      <t>(단위 : 백만원)</t>
    </r>
  </si>
  <si>
    <t>연체율 현황</t>
    <phoneticPr fontId="1" type="noConversion"/>
  </si>
  <si>
    <t>(단위 : 백만원)</t>
  </si>
  <si>
    <t>(단위 : 백만원)</t>
    <phoneticPr fontId="1" type="noConversion"/>
  </si>
  <si>
    <t>연 체 금 액</t>
  </si>
  <si>
    <t>1일이상</t>
  </si>
  <si>
    <t>11일이상</t>
  </si>
  <si>
    <t>31일이상</t>
  </si>
  <si>
    <t>소 계</t>
  </si>
  <si>
    <t>연 체 율</t>
  </si>
  <si>
    <t>상 각</t>
  </si>
  <si>
    <t>매 각</t>
  </si>
  <si>
    <t>연체율 현황(‘24년 취급분)</t>
    <phoneticPr fontId="1" type="noConversion"/>
  </si>
  <si>
    <t>구분</t>
  </si>
  <si>
    <t>신용</t>
  </si>
  <si>
    <t>담보</t>
  </si>
  <si>
    <t>총 대출금</t>
  </si>
  <si>
    <t>대출취급</t>
  </si>
  <si>
    <t>대출건수</t>
  </si>
  <si>
    <t>연체금액</t>
  </si>
  <si>
    <t>1일~10일</t>
  </si>
  <si>
    <t>11일~30일</t>
  </si>
  <si>
    <t>31일 이상</t>
  </si>
  <si>
    <t>소계</t>
  </si>
  <si>
    <t>연체율</t>
  </si>
  <si>
    <t>대손충당금 현황</t>
    <phoneticPr fontId="1" type="noConversion"/>
  </si>
  <si>
    <t>충당금</t>
  </si>
  <si>
    <t>설정율(%)</t>
  </si>
  <si>
    <t>기초금액</t>
  </si>
  <si>
    <t>신규설정</t>
  </si>
  <si>
    <t>감소액</t>
  </si>
  <si>
    <t>기말잔액</t>
  </si>
  <si>
    <t xml:space="preserve"> </t>
    <phoneticPr fontId="1" type="noConversion"/>
  </si>
  <si>
    <t>(단위 : %)</t>
  </si>
  <si>
    <t>미연체</t>
  </si>
  <si>
    <t>1~30</t>
  </si>
  <si>
    <t>31~60</t>
  </si>
  <si>
    <t>61~90</t>
  </si>
  <si>
    <t>91~120</t>
  </si>
  <si>
    <t>121~150</t>
  </si>
  <si>
    <t>151~180</t>
  </si>
  <si>
    <t>181이상</t>
  </si>
  <si>
    <t>일반대출채권</t>
  </si>
  <si>
    <t>개인회생채권</t>
  </si>
  <si>
    <t>신용회복채권</t>
  </si>
  <si>
    <t>담보대출채권</t>
  </si>
  <si>
    <t>▶담보대출채권: 연체 30일 이상 회수가능 채권은 낙찰가 대비 10~20% 설정, 회수불능 채권은 일반대출채권과 동일하게 설정</t>
  </si>
  <si>
    <t>A. 대출금</t>
  </si>
  <si>
    <t>B. 총 연체대출금</t>
  </si>
  <si>
    <t>C. 대손충당금</t>
  </si>
  <si>
    <t>D. 총 연체비율</t>
  </si>
  <si>
    <t>30,53%</t>
  </si>
  <si>
    <t>대손충당금 적립비율</t>
    <phoneticPr fontId="1" type="noConversion"/>
  </si>
  <si>
    <t>자산건전성 현황</t>
    <phoneticPr fontId="1" type="noConversion"/>
  </si>
  <si>
    <t>E. 전체대출금</t>
  </si>
  <si>
    <t>F. 연체 31일 이</t>
  </si>
  <si>
    <t>상 충당금 적립율</t>
  </si>
  <si>
    <t>/ 충당금 적립율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</si>
</sst>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3" x14ac:knownFonts="1">
    <font>
      <sz val="11"/>
      <color theme="1"/>
      <name val="맑은 고딕"/>
      <family val="2"/>
      <scheme val="minor"/>
    </font>
    <font>
      <sz val="8"/>
      <name val="맑은 고딕"/>
      <family val="3"/>
      <charset val="129"/>
      <scheme val="minor"/>
    </font>
    <font>
      <sz val="11"/>
      <color theme="1"/>
      <name val="맑은 고딕"/>
      <family val="2"/>
      <scheme val="minor"/>
    </font>
    <font>
      <sz val="9"/>
      <color theme="1"/>
      <name val="맑은 고딕"/>
      <family val="3"/>
      <charset val="129"/>
    </font>
    <font>
      <b/>
      <sz val="9"/>
      <color theme="1"/>
      <name val="맑은 고딕"/>
      <family val="3"/>
      <charset val="129"/>
    </font>
    <font>
      <b/>
      <sz val="9"/>
      <color rgb="FF000000"/>
      <name val="맑은 고딕"/>
      <family val="3"/>
      <charset val="129"/>
    </font>
    <font>
      <sz val="9"/>
      <color theme="1"/>
      <name val="Times New Roman"/>
      <family val="1"/>
    </font>
    <font>
      <sz val="7.5"/>
      <color theme="1"/>
      <name val="맑은 고딕"/>
      <family val="3"/>
      <charset val="129"/>
    </font>
    <font>
      <sz val="8"/>
      <color theme="1"/>
      <name val="맑은 고딕"/>
      <family val="3"/>
      <charset val="129"/>
    </font>
    <font>
      <b/>
      <sz val="8"/>
      <color theme="1"/>
      <name val="맑은 고딕"/>
      <family val="3"/>
      <charset val="129"/>
    </font>
    <font>
      <sz val="9"/>
      <color theme="1"/>
      <name val="SimSun"/>
      <charset val="134"/>
    </font>
    <font>
      <b/>
      <sz val="7.5"/>
      <color theme="1"/>
      <name val="맑은 고딕"/>
      <family val="3"/>
      <charset val="129"/>
    </font>
    <font>
      <sz val="9"/>
      <color theme="1"/>
      <name val="맑은 고딕"/>
      <family val="3"/>
      <charset val="129"/>
      <scheme val="minor"/>
    </font>
    <font>
      <sz val="11"/>
      <color theme="1"/>
      <name val="맑은 고딕"/>
      <family val="3"/>
      <charset val="129"/>
      <scheme val="minor"/>
    </font>
    <font>
      <sz val="7"/>
      <color theme="1"/>
      <name val="Times New Roman"/>
      <family val="1"/>
    </font>
    <font>
      <sz val="8.5"/>
      <color theme="1"/>
      <name val="맑은 고딕"/>
      <family val="3"/>
      <charset val="129"/>
    </font>
    <font>
      <b/>
      <sz val="8.5"/>
      <color rgb="FF000000"/>
      <name val="맑은 고딕"/>
      <family val="3"/>
      <charset val="129"/>
    </font>
    <font>
      <b/>
      <sz val="8.5"/>
      <color theme="1"/>
      <name val="맑은 고딕"/>
      <family val="3"/>
      <charset val="129"/>
    </font>
    <font>
      <sz val="6"/>
      <color theme="1"/>
      <name val="Times New Roman"/>
      <family val="1"/>
    </font>
    <font>
      <sz val="8"/>
      <color theme="1"/>
      <name val="Times New Roman"/>
      <family val="1"/>
    </font>
    <font>
      <b/>
      <sz val="9"/>
      <color theme="1"/>
      <name val="맑은 고딕"/>
      <family val="3"/>
      <charset val="129"/>
      <scheme val="minor"/>
    </font>
    <font>
      <b/>
      <sz val="7"/>
      <color theme="1"/>
      <name val="Times New Roman"/>
      <family val="1"/>
    </font>
    <font>
      <sz val="8"/>
      <color theme="1"/>
      <name val="맑은 고딕"/>
      <family val="3"/>
      <charset val="129"/>
      <scheme val="minor"/>
    </font>
  </fonts>
  <fills count="6">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
      <patternFill patternType="solid">
        <fgColor rgb="FFC1D5EC"/>
        <bgColor indexed="64"/>
      </patternFill>
    </fill>
    <fill>
      <patternFill patternType="solid">
        <fgColor rgb="FFF1F1F1"/>
        <bgColor indexed="64"/>
      </patternFill>
    </fill>
  </fills>
  <borders count="53">
    <border>
      <left/>
      <right/>
      <top/>
      <bottom/>
      <diagonal/>
    </border>
    <border>
      <left/>
      <right/>
      <top style="thin">
        <color indexed="64"/>
      </top>
      <bottom style="thin">
        <color indexed="64"/>
      </bottom>
      <diagonal/>
    </border>
    <border>
      <left style="medium">
        <color rgb="FF000000"/>
      </left>
      <right style="dotted">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dotted">
        <color rgb="FF000000"/>
      </right>
      <top/>
      <bottom style="dotted">
        <color rgb="FF000000"/>
      </bottom>
      <diagonal/>
    </border>
    <border>
      <left/>
      <right style="dotted">
        <color rgb="FF000000"/>
      </right>
      <top/>
      <bottom style="dotted">
        <color rgb="FF000000"/>
      </bottom>
      <diagonal/>
    </border>
    <border>
      <left/>
      <right style="medium">
        <color rgb="FF000000"/>
      </right>
      <top/>
      <bottom style="dotted">
        <color rgb="FF000000"/>
      </bottom>
      <diagonal/>
    </border>
    <border>
      <left style="medium">
        <color rgb="FF000000"/>
      </left>
      <right style="dotted">
        <color rgb="FF000000"/>
      </right>
      <top/>
      <bottom/>
      <diagonal/>
    </border>
    <border>
      <left/>
      <right style="dotted">
        <color rgb="FF000000"/>
      </right>
      <top/>
      <bottom/>
      <diagonal/>
    </border>
    <border>
      <left style="medium">
        <color rgb="FF000000"/>
      </left>
      <right style="dotted">
        <color rgb="FF000000"/>
      </right>
      <top/>
      <bottom style="medium">
        <color rgb="FF000000"/>
      </bottom>
      <diagonal/>
    </border>
    <border>
      <left/>
      <right style="dotted">
        <color rgb="FF000000"/>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dotted">
        <color rgb="FF000000"/>
      </top>
      <bottom/>
      <diagonal/>
    </border>
    <border>
      <left style="dotted">
        <color rgb="FF000000"/>
      </left>
      <right style="dotted">
        <color rgb="FF000000"/>
      </right>
      <top style="dotted">
        <color rgb="FF000000"/>
      </top>
      <bottom/>
      <diagonal/>
    </border>
    <border>
      <left style="dotted">
        <color rgb="FF000000"/>
      </left>
      <right style="dotted">
        <color rgb="FF000000"/>
      </right>
      <top/>
      <bottom style="dotted">
        <color rgb="FF000000"/>
      </bottom>
      <diagonal/>
    </border>
    <border>
      <left style="dotted">
        <color rgb="FF000000"/>
      </left>
      <right style="medium">
        <color rgb="FF000000"/>
      </right>
      <top style="dotted">
        <color rgb="FF000000"/>
      </top>
      <bottom/>
      <diagonal/>
    </border>
    <border>
      <left style="dotted">
        <color rgb="FF000000"/>
      </left>
      <right style="medium">
        <color rgb="FF000000"/>
      </right>
      <top/>
      <bottom style="dotted">
        <color rgb="FF000000"/>
      </bottom>
      <diagonal/>
    </border>
    <border>
      <left style="medium">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style="dotted">
        <color rgb="FF000000"/>
      </right>
      <top/>
      <bottom style="double">
        <color rgb="FF000000"/>
      </bottom>
      <diagonal/>
    </border>
    <border>
      <left/>
      <right style="dotted">
        <color rgb="FF000000"/>
      </right>
      <top/>
      <bottom style="double">
        <color rgb="FF000000"/>
      </bottom>
      <diagonal/>
    </border>
    <border>
      <left/>
      <right style="medium">
        <color rgb="FF000000"/>
      </right>
      <top/>
      <bottom style="double">
        <color rgb="FF000000"/>
      </bottom>
      <diagonal/>
    </border>
    <border>
      <left/>
      <right style="thick">
        <color rgb="FF000000"/>
      </right>
      <top style="medium">
        <color rgb="FF000000"/>
      </top>
      <bottom style="dotted">
        <color rgb="FF000000"/>
      </bottom>
      <diagonal/>
    </border>
    <border>
      <left/>
      <right style="thick">
        <color rgb="FF000000"/>
      </right>
      <top/>
      <bottom style="dotted">
        <color rgb="FF000000"/>
      </bottom>
      <diagonal/>
    </border>
    <border>
      <left/>
      <right style="thick">
        <color rgb="FF000000"/>
      </right>
      <top/>
      <bottom style="double">
        <color rgb="FF000000"/>
      </bottom>
      <diagonal/>
    </border>
    <border>
      <left style="medium">
        <color rgb="FF000000"/>
      </left>
      <right style="dotted">
        <color rgb="FF000000"/>
      </right>
      <top/>
      <bottom style="thick">
        <color rgb="FF000000"/>
      </bottom>
      <diagonal/>
    </border>
    <border>
      <left/>
      <right style="dotted">
        <color rgb="FF000000"/>
      </right>
      <top/>
      <bottom style="thick">
        <color rgb="FF000000"/>
      </bottom>
      <diagonal/>
    </border>
    <border>
      <left/>
      <right style="thick">
        <color rgb="FF000000"/>
      </right>
      <top/>
      <bottom style="thick">
        <color rgb="FF000000"/>
      </bottom>
      <diagonal/>
    </border>
    <border>
      <left style="medium">
        <color rgb="FF000000"/>
      </left>
      <right/>
      <top/>
      <bottom style="dotted">
        <color rgb="FF000000"/>
      </bottom>
      <diagonal/>
    </border>
    <border>
      <left style="medium">
        <color rgb="FF000000"/>
      </left>
      <right/>
      <top style="dotted">
        <color rgb="FF000000"/>
      </top>
      <bottom style="dotted">
        <color rgb="FF000000"/>
      </bottom>
      <diagonal/>
    </border>
    <border>
      <left style="medium">
        <color rgb="FF000000"/>
      </left>
      <right/>
      <top style="dotted">
        <color rgb="FF000000"/>
      </top>
      <bottom style="medium">
        <color rgb="FF000000"/>
      </bottom>
      <diagonal/>
    </border>
    <border>
      <left/>
      <right style="dotted">
        <color rgb="FF000000"/>
      </right>
      <top style="dotted">
        <color rgb="FF000000"/>
      </top>
      <bottom style="medium">
        <color rgb="FF000000"/>
      </bottom>
      <diagonal/>
    </border>
    <border>
      <left style="medium">
        <color rgb="FF000000"/>
      </left>
      <right/>
      <top/>
      <bottom/>
      <diagonal/>
    </border>
    <border>
      <left style="medium">
        <color rgb="FF000000"/>
      </left>
      <right/>
      <top style="dotted">
        <color rgb="FF000000"/>
      </top>
      <bottom/>
      <diagonal/>
    </border>
    <border>
      <left/>
      <right style="dotted">
        <color rgb="FF000000"/>
      </right>
      <top style="dotted">
        <color rgb="FF000000"/>
      </top>
      <bottom/>
      <diagonal/>
    </border>
    <border>
      <left style="medium">
        <color rgb="FF000000"/>
      </left>
      <right/>
      <top style="medium">
        <color rgb="FF000000"/>
      </top>
      <bottom style="dotted">
        <color rgb="FF000000"/>
      </bottom>
      <diagonal/>
    </border>
    <border>
      <left style="medium">
        <color rgb="FF000000"/>
      </left>
      <right/>
      <top style="medium">
        <color rgb="FF000000"/>
      </top>
      <bottom/>
      <diagonal/>
    </border>
    <border>
      <left/>
      <right style="dotted">
        <color rgb="FF000000"/>
      </right>
      <top style="medium">
        <color rgb="FF000000"/>
      </top>
      <bottom/>
      <diagonal/>
    </border>
    <border>
      <left/>
      <right style="medium">
        <color rgb="FF000000"/>
      </right>
      <top style="medium">
        <color rgb="FF000000"/>
      </top>
      <bottom style="medium">
        <color rgb="FF000000"/>
      </bottom>
      <diagonal/>
    </border>
    <border>
      <left/>
      <right/>
      <top style="dotted">
        <color rgb="FF000000"/>
      </top>
      <bottom style="dotted">
        <color rgb="FF000000"/>
      </bottom>
      <diagonal/>
    </border>
    <border>
      <left/>
      <right/>
      <top/>
      <bottom style="dotted">
        <color rgb="FF000000"/>
      </bottom>
      <diagonal/>
    </border>
    <border>
      <left style="dotted">
        <color rgb="FF000000"/>
      </left>
      <right/>
      <top style="medium">
        <color rgb="FF000000"/>
      </top>
      <bottom/>
      <diagonal/>
    </border>
    <border>
      <left style="dotted">
        <color rgb="FF000000"/>
      </left>
      <right/>
      <top style="medium">
        <color rgb="FF000000"/>
      </top>
      <bottom style="dotted">
        <color rgb="FF000000"/>
      </bottom>
      <diagonal/>
    </border>
    <border>
      <left style="dotted">
        <color rgb="FF000000"/>
      </left>
      <right/>
      <top style="medium">
        <color rgb="FF000000"/>
      </top>
      <bottom style="medium">
        <color rgb="FF000000"/>
      </bottom>
      <diagonal/>
    </border>
    <border>
      <left style="dotted">
        <color rgb="FF000000"/>
      </left>
      <right/>
      <top style="dotted">
        <color rgb="FF000000"/>
      </top>
      <bottom style="dotted">
        <color rgb="FF000000"/>
      </bottom>
      <diagonal/>
    </border>
    <border>
      <left style="medium">
        <color rgb="FF000000"/>
      </left>
      <right style="dotted">
        <color rgb="FF000000"/>
      </right>
      <top style="medium">
        <color rgb="FF000000"/>
      </top>
      <bottom/>
      <diagonal/>
    </border>
    <border>
      <left/>
      <right/>
      <top style="medium">
        <color rgb="FF000000"/>
      </top>
      <bottom style="dotted">
        <color rgb="FF000000"/>
      </bottom>
      <diagonal/>
    </border>
    <border>
      <left style="dotted">
        <color rgb="FF000000"/>
      </left>
      <right style="dotted">
        <color rgb="FF000000"/>
      </right>
      <top style="medium">
        <color rgb="FF000000"/>
      </top>
      <bottom/>
      <diagonal/>
    </border>
    <border>
      <left style="dotted">
        <color rgb="FF000000"/>
      </left>
      <right style="medium">
        <color rgb="FF000000"/>
      </right>
      <top style="medium">
        <color rgb="FF000000"/>
      </top>
      <bottom/>
      <diagonal/>
    </border>
    <border>
      <left style="dotted">
        <color rgb="FF000000"/>
      </left>
      <right style="dotted">
        <color rgb="FF000000"/>
      </right>
      <top/>
      <bottom style="medium">
        <color rgb="FF000000"/>
      </bottom>
      <diagonal/>
    </border>
    <border>
      <left style="dotted">
        <color rgb="FF000000"/>
      </left>
      <right style="medium">
        <color rgb="FF000000"/>
      </right>
      <top/>
      <bottom style="medium">
        <color rgb="FF000000"/>
      </bottom>
      <diagonal/>
    </border>
  </borders>
  <cellStyleXfs count="3">
    <xf numFmtId="0" fontId="0" fillId="0" borderId="0"/>
    <xf numFmtId="41"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295">
    <xf numFmtId="0" fontId="0" fillId="0" borderId="0" xfId="0"/>
    <xf numFmtId="0" fontId="0" fillId="0" borderId="0" xfId="0" applyAlignment="1">
      <alignment shrinkToFit="1"/>
    </xf>
    <xf numFmtId="0" fontId="0" fillId="2" borderId="0" xfId="0" applyFill="1"/>
    <xf numFmtId="0" fontId="0" fillId="0" borderId="0" xfId="0" quotePrefix="1"/>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shrinkToFit="1"/>
    </xf>
    <xf numFmtId="0" fontId="0" fillId="2" borderId="0" xfId="0" applyFill="1" applyAlignment="1">
      <alignment horizontal="center"/>
    </xf>
    <xf numFmtId="0" fontId="0" fillId="0" borderId="0" xfId="0" applyAlignment="1">
      <alignment horizontal="center" shrinkToFit="1"/>
    </xf>
    <xf numFmtId="3" fontId="0" fillId="0" borderId="0" xfId="0" applyNumberFormat="1"/>
    <xf numFmtId="0" fontId="0" fillId="3" borderId="0" xfId="0" applyFill="1"/>
    <xf numFmtId="3" fontId="0" fillId="3" borderId="0" xfId="0" applyNumberFormat="1" applyFill="1"/>
    <xf numFmtId="9" fontId="0" fillId="0" borderId="0" xfId="2" applyFont="1" applyAlignment="1"/>
    <xf numFmtId="14" fontId="0" fillId="0" borderId="0" xfId="0" applyNumberFormat="1"/>
    <xf numFmtId="41" fontId="0" fillId="0" borderId="0" xfId="1" applyFont="1" applyAlignment="1"/>
    <xf numFmtId="10" fontId="0" fillId="0" borderId="0" xfId="0" applyNumberForma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31" fontId="3" fillId="0" borderId="16" xfId="0" applyNumberFormat="1" applyFont="1" applyBorder="1" applyAlignment="1">
      <alignment horizontal="center" vertical="center" wrapText="1"/>
    </xf>
    <xf numFmtId="31" fontId="3" fillId="0" borderId="17" xfId="0" applyNumberFormat="1" applyFont="1" applyBorder="1" applyAlignment="1">
      <alignment horizontal="center" vertical="center" wrapText="1"/>
    </xf>
    <xf numFmtId="3" fontId="3" fillId="0" borderId="6" xfId="0" applyNumberFormat="1" applyFont="1" applyBorder="1" applyAlignment="1">
      <alignment horizontal="right" vertical="center" wrapText="1"/>
    </xf>
    <xf numFmtId="10" fontId="3" fillId="0" borderId="6" xfId="0" applyNumberFormat="1" applyFont="1" applyBorder="1" applyAlignment="1">
      <alignment horizontal="right" vertical="center" wrapText="1"/>
    </xf>
    <xf numFmtId="3" fontId="3" fillId="0" borderId="11" xfId="0" applyNumberFormat="1" applyFont="1" applyBorder="1" applyAlignment="1">
      <alignment horizontal="right" vertical="center" wrapText="1"/>
    </xf>
    <xf numFmtId="10" fontId="3" fillId="0" borderId="11" xfId="0" applyNumberFormat="1" applyFont="1" applyBorder="1" applyAlignment="1">
      <alignment horizontal="right" vertical="center" wrapText="1"/>
    </xf>
    <xf numFmtId="0" fontId="3" fillId="0" borderId="3" xfId="0" applyFont="1" applyBorder="1" applyAlignment="1">
      <alignment horizontal="left" vertical="center" wrapText="1" indent="2"/>
    </xf>
    <xf numFmtId="0" fontId="3" fillId="0" borderId="4" xfId="0" applyFont="1" applyBorder="1" applyAlignment="1">
      <alignment horizontal="left" vertical="center" wrapText="1" indent="2"/>
    </xf>
    <xf numFmtId="0" fontId="4" fillId="0" borderId="5" xfId="0" applyFont="1" applyBorder="1" applyAlignment="1">
      <alignment horizontal="left" vertical="center" wrapText="1"/>
    </xf>
    <xf numFmtId="3" fontId="4" fillId="0" borderId="6" xfId="0" applyNumberFormat="1" applyFont="1" applyBorder="1" applyAlignment="1">
      <alignment horizontal="right" vertical="center" wrapText="1"/>
    </xf>
    <xf numFmtId="3" fontId="4" fillId="0" borderId="7" xfId="0" applyNumberFormat="1" applyFont="1" applyBorder="1" applyAlignment="1">
      <alignment horizontal="right" vertical="center" wrapText="1"/>
    </xf>
    <xf numFmtId="0" fontId="3" fillId="0" borderId="5" xfId="0" applyFont="1" applyBorder="1" applyAlignment="1">
      <alignment horizontal="left" vertical="center" wrapText="1"/>
    </xf>
    <xf numFmtId="3" fontId="3" fillId="0" borderId="7" xfId="0" applyNumberFormat="1" applyFont="1" applyBorder="1" applyAlignment="1">
      <alignment horizontal="right" vertical="center" wrapText="1"/>
    </xf>
    <xf numFmtId="0" fontId="3" fillId="0" borderId="5" xfId="0" applyFont="1" applyBorder="1" applyAlignment="1">
      <alignment horizontal="left" vertical="center" wrapText="1" indent="2"/>
    </xf>
    <xf numFmtId="0" fontId="4" fillId="0" borderId="18" xfId="0" applyFont="1" applyBorder="1" applyAlignment="1">
      <alignment horizontal="left" vertical="center" wrapText="1"/>
    </xf>
    <xf numFmtId="3" fontId="4" fillId="0" borderId="19" xfId="0" applyNumberFormat="1" applyFont="1" applyBorder="1" applyAlignment="1">
      <alignment horizontal="right" vertical="center" wrapText="1"/>
    </xf>
    <xf numFmtId="3" fontId="4" fillId="0" borderId="20" xfId="0" applyNumberFormat="1" applyFont="1" applyBorder="1" applyAlignment="1">
      <alignment horizontal="right" vertical="center" wrapText="1"/>
    </xf>
    <xf numFmtId="0" fontId="3" fillId="0" borderId="21" xfId="0" applyFont="1" applyBorder="1" applyAlignment="1">
      <alignment horizontal="left" vertical="center" wrapText="1"/>
    </xf>
    <xf numFmtId="3" fontId="3" fillId="0" borderId="22" xfId="0" applyNumberFormat="1" applyFont="1" applyBorder="1" applyAlignment="1">
      <alignment horizontal="right" vertical="center" wrapText="1"/>
    </xf>
    <xf numFmtId="3" fontId="3" fillId="0" borderId="23" xfId="0" applyNumberFormat="1" applyFont="1" applyBorder="1" applyAlignment="1">
      <alignment horizontal="right" vertical="center" wrapText="1"/>
    </xf>
    <xf numFmtId="0" fontId="3" fillId="0" borderId="7" xfId="0" applyFont="1" applyBorder="1" applyAlignment="1">
      <alignment horizontal="right" vertical="center" wrapText="1"/>
    </xf>
    <xf numFmtId="0" fontId="3" fillId="0" borderId="6" xfId="0" applyFont="1" applyBorder="1" applyAlignment="1">
      <alignment horizontal="right" vertical="center" wrapText="1"/>
    </xf>
    <xf numFmtId="0" fontId="3" fillId="0" borderId="5" xfId="0" applyFont="1" applyBorder="1" applyAlignment="1">
      <alignment horizontal="left" vertical="center" wrapText="1" indent="1"/>
    </xf>
    <xf numFmtId="0" fontId="4" fillId="0" borderId="6" xfId="0" applyFont="1" applyBorder="1" applyAlignment="1">
      <alignment horizontal="right" vertical="center" wrapText="1"/>
    </xf>
    <xf numFmtId="0" fontId="4" fillId="0" borderId="7" xfId="0" applyFont="1" applyBorder="1" applyAlignment="1">
      <alignment horizontal="right" vertical="center" wrapText="1"/>
    </xf>
    <xf numFmtId="0" fontId="4" fillId="0" borderId="10" xfId="0" applyFont="1" applyBorder="1" applyAlignment="1">
      <alignment horizontal="left" vertical="center" wrapText="1"/>
    </xf>
    <xf numFmtId="3" fontId="4" fillId="0" borderId="11" xfId="0" applyNumberFormat="1" applyFont="1" applyBorder="1" applyAlignment="1">
      <alignment horizontal="right" vertical="center" wrapText="1"/>
    </xf>
    <xf numFmtId="0" fontId="4" fillId="0" borderId="11" xfId="0" applyFont="1" applyBorder="1" applyAlignment="1">
      <alignment horizontal="right" vertical="center" wrapText="1"/>
    </xf>
    <xf numFmtId="3" fontId="4" fillId="0" borderId="12" xfId="0" applyNumberFormat="1" applyFont="1" applyBorder="1" applyAlignment="1">
      <alignment horizontal="right" vertical="center" wrapText="1"/>
    </xf>
    <xf numFmtId="0" fontId="3" fillId="0" borderId="3" xfId="0" applyFont="1" applyBorder="1" applyAlignment="1">
      <alignment horizontal="left" vertical="center" wrapText="1" indent="1"/>
    </xf>
    <xf numFmtId="0" fontId="3" fillId="0" borderId="24" xfId="0" applyFont="1" applyBorder="1" applyAlignment="1">
      <alignment horizontal="center" vertical="center" wrapText="1"/>
    </xf>
    <xf numFmtId="0" fontId="3" fillId="0" borderId="25" xfId="0" applyFont="1" applyBorder="1" applyAlignment="1">
      <alignment horizontal="left" vertical="center" wrapText="1"/>
    </xf>
    <xf numFmtId="0" fontId="5" fillId="4" borderId="5" xfId="0" applyFont="1" applyFill="1" applyBorder="1" applyAlignment="1">
      <alignment horizontal="center" vertical="center" wrapText="1"/>
    </xf>
    <xf numFmtId="10" fontId="5" fillId="4" borderId="6" xfId="0" applyNumberFormat="1" applyFont="1" applyFill="1" applyBorder="1" applyAlignment="1">
      <alignment horizontal="right" vertical="center" wrapText="1"/>
    </xf>
    <xf numFmtId="0" fontId="5" fillId="4" borderId="25" xfId="0" applyFont="1" applyFill="1" applyBorder="1" applyAlignment="1">
      <alignment horizontal="left" vertical="center" wrapText="1"/>
    </xf>
    <xf numFmtId="3" fontId="5" fillId="4" borderId="6" xfId="0" applyNumberFormat="1" applyFont="1" applyFill="1" applyBorder="1" applyAlignment="1">
      <alignment horizontal="right" vertical="center" wrapText="1"/>
    </xf>
    <xf numFmtId="0" fontId="5" fillId="4" borderId="21" xfId="0" applyFont="1" applyFill="1" applyBorder="1" applyAlignment="1">
      <alignment horizontal="center" vertical="center" wrapText="1"/>
    </xf>
    <xf numFmtId="10" fontId="5" fillId="4" borderId="22" xfId="0" applyNumberFormat="1" applyFont="1" applyFill="1" applyBorder="1" applyAlignment="1">
      <alignment horizontal="right" vertical="center" wrapText="1"/>
    </xf>
    <xf numFmtId="0" fontId="5" fillId="4" borderId="26" xfId="0" applyFont="1" applyFill="1" applyBorder="1" applyAlignment="1">
      <alignment horizontal="left" vertical="center" wrapText="1"/>
    </xf>
    <xf numFmtId="0" fontId="5" fillId="4" borderId="27" xfId="0" applyFont="1" applyFill="1" applyBorder="1" applyAlignment="1">
      <alignment horizontal="center" vertical="center" wrapText="1"/>
    </xf>
    <xf numFmtId="10" fontId="5" fillId="4" borderId="28" xfId="0" applyNumberFormat="1" applyFont="1" applyFill="1" applyBorder="1" applyAlignment="1">
      <alignment horizontal="right" vertical="center" wrapText="1"/>
    </xf>
    <xf numFmtId="0" fontId="6" fillId="4" borderId="29" xfId="0" applyFont="1" applyFill="1" applyBorder="1" applyAlignment="1">
      <alignment horizontal="left"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8" xfId="0" applyFont="1" applyBorder="1" applyAlignment="1">
      <alignment horizontal="left" vertical="center" wrapText="1" indent="3"/>
    </xf>
    <xf numFmtId="0" fontId="3" fillId="0" borderId="28" xfId="0" applyFont="1" applyBorder="1" applyAlignment="1">
      <alignment horizontal="left" vertical="center" wrapText="1" indent="1"/>
    </xf>
    <xf numFmtId="0" fontId="3" fillId="0" borderId="29" xfId="0" applyFont="1" applyBorder="1" applyAlignment="1">
      <alignment horizontal="center" vertical="center" wrapText="1"/>
    </xf>
    <xf numFmtId="0" fontId="3" fillId="0" borderId="3" xfId="0" applyFont="1" applyBorder="1" applyAlignment="1">
      <alignment horizontal="right" vertical="center" wrapText="1"/>
    </xf>
    <xf numFmtId="0" fontId="3" fillId="0" borderId="3" xfId="0" applyFont="1" applyBorder="1" applyAlignment="1">
      <alignment horizontal="left" vertical="center" wrapText="1"/>
    </xf>
    <xf numFmtId="0" fontId="3" fillId="0" borderId="24" xfId="0" applyFont="1" applyBorder="1" applyAlignment="1">
      <alignment horizontal="right" vertical="center" wrapText="1"/>
    </xf>
    <xf numFmtId="3" fontId="7" fillId="0" borderId="6" xfId="0" applyNumberFormat="1" applyFont="1" applyBorder="1" applyAlignment="1">
      <alignment horizontal="right" vertical="center" wrapText="1"/>
    </xf>
    <xf numFmtId="3" fontId="7" fillId="0" borderId="6" xfId="0" applyNumberFormat="1" applyFont="1" applyBorder="1" applyAlignment="1">
      <alignment horizontal="left" vertical="center" wrapText="1"/>
    </xf>
    <xf numFmtId="3" fontId="7" fillId="0" borderId="6" xfId="0" applyNumberFormat="1" applyFont="1" applyBorder="1" applyAlignment="1">
      <alignment horizontal="center" vertical="center" wrapText="1"/>
    </xf>
    <xf numFmtId="3" fontId="7" fillId="0" borderId="25" xfId="0" applyNumberFormat="1" applyFont="1" applyBorder="1" applyAlignment="1">
      <alignment horizontal="right" vertical="center" wrapText="1"/>
    </xf>
    <xf numFmtId="0" fontId="7" fillId="0" borderId="6" xfId="0" applyFont="1" applyBorder="1" applyAlignment="1">
      <alignment horizontal="right" vertical="center" wrapText="1"/>
    </xf>
    <xf numFmtId="3" fontId="8" fillId="0" borderId="6" xfId="0" applyNumberFormat="1" applyFont="1" applyBorder="1" applyAlignment="1">
      <alignment horizontal="right" vertical="center" wrapText="1"/>
    </xf>
    <xf numFmtId="3" fontId="8" fillId="0" borderId="6" xfId="0" applyNumberFormat="1" applyFont="1" applyBorder="1" applyAlignment="1">
      <alignment horizontal="left" vertical="center" wrapText="1"/>
    </xf>
    <xf numFmtId="3" fontId="8" fillId="0" borderId="6" xfId="0" applyNumberFormat="1" applyFont="1" applyBorder="1" applyAlignment="1">
      <alignment horizontal="center" vertical="center" wrapText="1"/>
    </xf>
    <xf numFmtId="3" fontId="8" fillId="0" borderId="25" xfId="0" applyNumberFormat="1" applyFont="1" applyBorder="1" applyAlignment="1">
      <alignment horizontal="right" vertical="center" wrapText="1"/>
    </xf>
    <xf numFmtId="0" fontId="4" fillId="0" borderId="5" xfId="0" applyFont="1" applyBorder="1" applyAlignment="1">
      <alignment horizontal="center" vertical="center" wrapText="1"/>
    </xf>
    <xf numFmtId="0" fontId="9" fillId="0" borderId="6" xfId="0" applyFont="1" applyBorder="1" applyAlignment="1">
      <alignment horizontal="right" vertical="center" wrapText="1"/>
    </xf>
    <xf numFmtId="3" fontId="9" fillId="0" borderId="6" xfId="0" applyNumberFormat="1" applyFont="1" applyBorder="1" applyAlignment="1">
      <alignment horizontal="right" vertical="center" wrapText="1"/>
    </xf>
    <xf numFmtId="3" fontId="9" fillId="0" borderId="6" xfId="0" applyNumberFormat="1" applyFont="1" applyBorder="1" applyAlignment="1">
      <alignment horizontal="left" vertical="center" wrapText="1"/>
    </xf>
    <xf numFmtId="3" fontId="9" fillId="0" borderId="6" xfId="0" applyNumberFormat="1" applyFont="1" applyBorder="1" applyAlignment="1">
      <alignment horizontal="center" vertical="center" wrapText="1"/>
    </xf>
    <xf numFmtId="3" fontId="9" fillId="0" borderId="25" xfId="0" applyNumberFormat="1" applyFont="1" applyBorder="1" applyAlignment="1">
      <alignment horizontal="right" vertical="center" wrapText="1"/>
    </xf>
    <xf numFmtId="0" fontId="8" fillId="0" borderId="6" xfId="0" applyFont="1" applyBorder="1" applyAlignment="1">
      <alignment horizontal="right" vertical="center" wrapText="1"/>
    </xf>
    <xf numFmtId="3" fontId="11" fillId="0" borderId="6" xfId="0" applyNumberFormat="1" applyFont="1" applyBorder="1" applyAlignment="1">
      <alignment horizontal="right" vertical="center" wrapText="1"/>
    </xf>
    <xf numFmtId="3" fontId="11" fillId="0" borderId="6" xfId="0" applyNumberFormat="1" applyFont="1" applyBorder="1" applyAlignment="1">
      <alignment horizontal="left" vertical="center" wrapText="1"/>
    </xf>
    <xf numFmtId="3" fontId="11" fillId="0" borderId="6" xfId="0" applyNumberFormat="1" applyFont="1" applyBorder="1" applyAlignment="1">
      <alignment horizontal="center" vertical="center" wrapText="1"/>
    </xf>
    <xf numFmtId="3" fontId="11" fillId="0" borderId="25" xfId="0" applyNumberFormat="1" applyFont="1" applyBorder="1" applyAlignment="1">
      <alignment horizontal="right" vertical="center" wrapText="1"/>
    </xf>
    <xf numFmtId="3" fontId="7" fillId="0" borderId="28" xfId="0" applyNumberFormat="1" applyFont="1" applyBorder="1" applyAlignment="1">
      <alignment horizontal="right" vertical="center" wrapText="1"/>
    </xf>
    <xf numFmtId="3" fontId="7" fillId="0" borderId="28" xfId="0" applyNumberFormat="1" applyFont="1" applyBorder="1" applyAlignment="1">
      <alignment horizontal="left" vertical="center" wrapText="1"/>
    </xf>
    <xf numFmtId="3" fontId="7" fillId="0" borderId="28" xfId="0" applyNumberFormat="1" applyFont="1" applyBorder="1" applyAlignment="1">
      <alignment horizontal="center" vertical="center" wrapText="1"/>
    </xf>
    <xf numFmtId="3" fontId="7" fillId="0" borderId="29" xfId="0" applyNumberFormat="1" applyFont="1" applyBorder="1" applyAlignment="1">
      <alignment horizontal="right" vertical="center" wrapText="1"/>
    </xf>
    <xf numFmtId="0" fontId="3" fillId="0" borderId="24" xfId="0" applyFont="1" applyBorder="1" applyAlignment="1">
      <alignment horizontal="left" vertical="center" wrapText="1"/>
    </xf>
    <xf numFmtId="3" fontId="8" fillId="0" borderId="25" xfId="0" applyNumberFormat="1" applyFont="1" applyBorder="1" applyAlignment="1">
      <alignment horizontal="left" vertical="center" wrapText="1"/>
    </xf>
    <xf numFmtId="0" fontId="8" fillId="0" borderId="28" xfId="0" applyFont="1" applyBorder="1" applyAlignment="1">
      <alignment horizontal="right" vertical="center" wrapText="1"/>
    </xf>
    <xf numFmtId="0" fontId="8" fillId="0" borderId="28" xfId="0" applyFont="1" applyBorder="1" applyAlignment="1">
      <alignment horizontal="left" vertical="center" wrapText="1" indent="1"/>
    </xf>
    <xf numFmtId="0" fontId="8" fillId="0" borderId="29" xfId="0" applyFont="1" applyBorder="1" applyAlignment="1">
      <alignment horizontal="left" vertical="center" wrapText="1" indent="1"/>
    </xf>
    <xf numFmtId="0" fontId="12" fillId="0" borderId="0" xfId="0" applyFont="1" applyAlignment="1">
      <alignment horizontal="justify" vertical="center"/>
    </xf>
    <xf numFmtId="0" fontId="12" fillId="0" borderId="0" xfId="0" applyFont="1" applyAlignment="1">
      <alignment horizontal="left" vertical="center" indent="1"/>
    </xf>
    <xf numFmtId="0" fontId="13" fillId="0" borderId="0" xfId="0" applyFont="1"/>
    <xf numFmtId="0" fontId="15" fillId="0" borderId="2" xfId="0" applyFont="1" applyBorder="1" applyAlignment="1">
      <alignment horizontal="center" vertical="center" wrapText="1"/>
    </xf>
    <xf numFmtId="0" fontId="15" fillId="0" borderId="3" xfId="0" applyFont="1" applyBorder="1" applyAlignment="1">
      <alignment horizontal="left" vertical="center" wrapText="1" inden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3" fontId="15" fillId="0" borderId="6" xfId="0" applyNumberFormat="1" applyFont="1" applyBorder="1" applyAlignment="1">
      <alignment horizontal="right" vertical="center" wrapText="1"/>
    </xf>
    <xf numFmtId="10" fontId="15" fillId="0" borderId="6" xfId="0" applyNumberFormat="1" applyFont="1" applyBorder="1" applyAlignment="1">
      <alignment horizontal="right"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6" xfId="0" applyFont="1" applyBorder="1" applyAlignment="1">
      <alignment horizontal="right" vertical="center" wrapText="1"/>
    </xf>
    <xf numFmtId="0" fontId="15" fillId="0" borderId="6" xfId="0" applyFont="1" applyBorder="1" applyAlignment="1">
      <alignment horizontal="left" vertical="center" wrapText="1" indent="1"/>
    </xf>
    <xf numFmtId="0" fontId="16" fillId="5" borderId="5" xfId="0" applyFont="1" applyFill="1" applyBorder="1" applyAlignment="1">
      <alignment horizontal="center" vertical="center" wrapText="1"/>
    </xf>
    <xf numFmtId="3" fontId="16" fillId="5" borderId="6" xfId="0" applyNumberFormat="1" applyFont="1" applyFill="1" applyBorder="1" applyAlignment="1">
      <alignment horizontal="right" vertical="center" wrapText="1"/>
    </xf>
    <xf numFmtId="10" fontId="16" fillId="5" borderId="6" xfId="0" applyNumberFormat="1" applyFont="1" applyFill="1" applyBorder="1" applyAlignment="1">
      <alignment horizontal="right" vertical="center" wrapText="1"/>
    </xf>
    <xf numFmtId="0" fontId="14" fillId="5" borderId="6" xfId="0" applyFont="1" applyFill="1" applyBorder="1" applyAlignment="1">
      <alignment horizontal="left" vertical="center" wrapText="1"/>
    </xf>
    <xf numFmtId="0" fontId="14" fillId="5" borderId="7" xfId="0" applyFont="1" applyFill="1" applyBorder="1" applyAlignment="1">
      <alignment horizontal="left" vertical="center" wrapText="1"/>
    </xf>
    <xf numFmtId="0" fontId="16" fillId="5"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6" fillId="5" borderId="8" xfId="0" applyFont="1" applyFill="1" applyBorder="1" applyAlignment="1">
      <alignment horizontal="left" vertical="center" wrapText="1" indent="1"/>
    </xf>
    <xf numFmtId="0" fontId="16" fillId="5" borderId="5" xfId="0" applyFont="1" applyFill="1" applyBorder="1" applyAlignment="1">
      <alignment horizontal="left" vertical="center" wrapText="1" indent="1"/>
    </xf>
    <xf numFmtId="0" fontId="16" fillId="5" borderId="10" xfId="0" applyFont="1" applyFill="1" applyBorder="1" applyAlignment="1">
      <alignment horizontal="center" vertical="center" wrapText="1"/>
    </xf>
    <xf numFmtId="3" fontId="16" fillId="5" borderId="11" xfId="0" applyNumberFormat="1" applyFont="1" applyFill="1" applyBorder="1" applyAlignment="1">
      <alignment horizontal="right" vertical="center" wrapText="1"/>
    </xf>
    <xf numFmtId="10" fontId="16" fillId="5" borderId="11" xfId="0" applyNumberFormat="1" applyFont="1" applyFill="1" applyBorder="1" applyAlignment="1">
      <alignment horizontal="right" vertical="center" wrapText="1"/>
    </xf>
    <xf numFmtId="0" fontId="14" fillId="5" borderId="11" xfId="0" applyFont="1" applyFill="1" applyBorder="1" applyAlignment="1">
      <alignment horizontal="left" vertical="center" wrapText="1"/>
    </xf>
    <xf numFmtId="0" fontId="14" fillId="5" borderId="12" xfId="0" applyFont="1" applyFill="1" applyBorder="1" applyAlignment="1">
      <alignment horizontal="left" vertical="center" wrapText="1"/>
    </xf>
    <xf numFmtId="0" fontId="15" fillId="0" borderId="13" xfId="0" applyFont="1" applyBorder="1" applyAlignment="1">
      <alignment horizontal="left" vertical="center" wrapText="1" indent="1"/>
    </xf>
    <xf numFmtId="0" fontId="15" fillId="0" borderId="5" xfId="0" applyFont="1" applyBorder="1" applyAlignment="1">
      <alignment horizontal="left" vertical="center" wrapText="1" indent="1"/>
    </xf>
    <xf numFmtId="0" fontId="15" fillId="0" borderId="8" xfId="0" applyFont="1" applyBorder="1" applyAlignment="1">
      <alignment horizontal="left" vertical="center" wrapText="1"/>
    </xf>
    <xf numFmtId="0" fontId="15" fillId="0" borderId="13" xfId="0" applyFont="1" applyBorder="1" applyAlignment="1">
      <alignment horizontal="left" vertical="center" wrapText="1"/>
    </xf>
    <xf numFmtId="0" fontId="15" fillId="0" borderId="5" xfId="0" applyFont="1" applyBorder="1" applyAlignment="1">
      <alignment horizontal="left" vertical="center" wrapText="1"/>
    </xf>
    <xf numFmtId="3" fontId="16" fillId="5" borderId="14" xfId="0" applyNumberFormat="1" applyFont="1" applyFill="1" applyBorder="1" applyAlignment="1">
      <alignment horizontal="right" vertical="center" wrapText="1"/>
    </xf>
    <xf numFmtId="3" fontId="16" fillId="5" borderId="15" xfId="0" applyNumberFormat="1" applyFont="1" applyFill="1" applyBorder="1" applyAlignment="1">
      <alignment horizontal="right" vertical="center" wrapText="1"/>
    </xf>
    <xf numFmtId="0" fontId="16" fillId="5" borderId="14" xfId="0" applyFont="1" applyFill="1" applyBorder="1" applyAlignment="1">
      <alignment horizontal="right" vertical="center" wrapText="1"/>
    </xf>
    <xf numFmtId="0" fontId="16" fillId="5" borderId="15" xfId="0" applyFont="1" applyFill="1" applyBorder="1" applyAlignment="1">
      <alignment horizontal="right" vertical="center" wrapText="1"/>
    </xf>
    <xf numFmtId="0" fontId="16" fillId="5" borderId="14" xfId="0" applyFont="1" applyFill="1" applyBorder="1" applyAlignment="1">
      <alignment horizontal="center" vertical="center" wrapText="1"/>
    </xf>
    <xf numFmtId="0" fontId="16" fillId="5" borderId="15" xfId="0" applyFont="1" applyFill="1" applyBorder="1" applyAlignment="1">
      <alignment horizontal="center" vertical="center" wrapText="1"/>
    </xf>
    <xf numFmtId="0" fontId="16" fillId="5" borderId="16" xfId="0" applyFont="1" applyFill="1" applyBorder="1" applyAlignment="1">
      <alignment horizontal="center" vertical="center" wrapText="1"/>
    </xf>
    <xf numFmtId="0" fontId="16" fillId="5" borderId="17" xfId="0" applyFont="1" applyFill="1" applyBorder="1" applyAlignment="1">
      <alignment horizontal="center" vertical="center" wrapText="1"/>
    </xf>
    <xf numFmtId="0" fontId="12" fillId="0" borderId="0" xfId="0" applyFont="1" applyAlignment="1">
      <alignment vertical="center"/>
    </xf>
    <xf numFmtId="10" fontId="3" fillId="0" borderId="7" xfId="0" applyNumberFormat="1" applyFont="1" applyBorder="1" applyAlignment="1">
      <alignment horizontal="right" vertical="center" wrapText="1"/>
    </xf>
    <xf numFmtId="10" fontId="3" fillId="0" borderId="12" xfId="0" applyNumberFormat="1" applyFont="1" applyBorder="1" applyAlignment="1">
      <alignment horizontal="righ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horizontal="left" vertical="center" wrapText="1" inden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10" fontId="8" fillId="0" borderId="6" xfId="0" applyNumberFormat="1" applyFont="1" applyBorder="1" applyAlignment="1">
      <alignment horizontal="right" vertical="center" wrapText="1"/>
    </xf>
    <xf numFmtId="14" fontId="8" fillId="0" borderId="6"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14" fillId="0" borderId="6" xfId="0" applyFont="1" applyBorder="1" applyAlignment="1">
      <alignment horizontal="left" vertical="center" wrapText="1"/>
    </xf>
    <xf numFmtId="0" fontId="14" fillId="0" borderId="7" xfId="0" applyFont="1" applyBorder="1" applyAlignment="1">
      <alignment horizontal="left" vertical="center" wrapText="1"/>
    </xf>
    <xf numFmtId="0" fontId="18" fillId="0" borderId="6" xfId="0" applyFont="1" applyBorder="1" applyAlignment="1">
      <alignment horizontal="left" vertical="center" wrapText="1"/>
    </xf>
    <xf numFmtId="0" fontId="18" fillId="0" borderId="7" xfId="0" applyFont="1" applyBorder="1" applyAlignment="1">
      <alignment horizontal="left" vertical="center" wrapText="1"/>
    </xf>
    <xf numFmtId="0" fontId="8" fillId="0" borderId="31"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3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3" fontId="8" fillId="0" borderId="19" xfId="0" applyNumberFormat="1" applyFont="1" applyBorder="1" applyAlignment="1">
      <alignment horizontal="right" vertical="center" wrapText="1"/>
    </xf>
    <xf numFmtId="0" fontId="8" fillId="0" borderId="19" xfId="0" applyFont="1" applyBorder="1" applyAlignment="1">
      <alignment horizontal="right" vertical="center" wrapText="1"/>
    </xf>
    <xf numFmtId="10" fontId="8" fillId="0" borderId="19" xfId="0" applyNumberFormat="1" applyFont="1" applyBorder="1" applyAlignment="1">
      <alignment horizontal="right" vertical="center" wrapText="1"/>
    </xf>
    <xf numFmtId="14" fontId="8" fillId="0" borderId="19" xfId="0" applyNumberFormat="1" applyFont="1" applyBorder="1" applyAlignment="1">
      <alignment horizontal="center" vertical="center" wrapText="1"/>
    </xf>
    <xf numFmtId="0" fontId="8" fillId="0" borderId="20" xfId="0" applyFont="1" applyBorder="1" applyAlignment="1">
      <alignment horizontal="center"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8" fillId="0" borderId="9" xfId="0" applyFont="1" applyBorder="1" applyAlignment="1">
      <alignment horizontal="center" vertical="center" wrapText="1"/>
    </xf>
    <xf numFmtId="3" fontId="8" fillId="0" borderId="11" xfId="0" applyNumberFormat="1" applyFont="1" applyBorder="1" applyAlignment="1">
      <alignment horizontal="right" vertical="center" wrapText="1"/>
    </xf>
    <xf numFmtId="0" fontId="14" fillId="0" borderId="11" xfId="0" applyFont="1" applyBorder="1" applyAlignment="1">
      <alignment horizontal="left" vertical="center" wrapText="1"/>
    </xf>
    <xf numFmtId="0" fontId="14" fillId="0" borderId="12" xfId="0" applyFont="1" applyBorder="1" applyAlignment="1">
      <alignment horizontal="left" vertical="center" wrapText="1"/>
    </xf>
    <xf numFmtId="0" fontId="8" fillId="0" borderId="31" xfId="0" applyFont="1" applyBorder="1" applyAlignment="1">
      <alignment horizontal="left" vertical="center" wrapText="1" indent="3"/>
    </xf>
    <xf numFmtId="0" fontId="8" fillId="0" borderId="19" xfId="0" applyFont="1" applyBorder="1" applyAlignment="1">
      <alignment horizontal="left" vertical="center" wrapText="1" indent="3"/>
    </xf>
    <xf numFmtId="0" fontId="8" fillId="0" borderId="1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3" fontId="8" fillId="0" borderId="14" xfId="0" applyNumberFormat="1" applyFont="1" applyBorder="1" applyAlignment="1">
      <alignment horizontal="right" vertical="center" wrapText="1"/>
    </xf>
    <xf numFmtId="3" fontId="8" fillId="0" borderId="15" xfId="0" applyNumberFormat="1" applyFont="1" applyBorder="1" applyAlignment="1">
      <alignment horizontal="right" vertical="center" wrapText="1"/>
    </xf>
    <xf numFmtId="10" fontId="8" fillId="0" borderId="14" xfId="0" applyNumberFormat="1" applyFont="1" applyBorder="1" applyAlignment="1">
      <alignment horizontal="right" vertical="center" wrapText="1"/>
    </xf>
    <xf numFmtId="10" fontId="8" fillId="0" borderId="15" xfId="0" applyNumberFormat="1" applyFont="1" applyBorder="1" applyAlignment="1">
      <alignment horizontal="right"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4" xfId="0" applyFont="1" applyBorder="1" applyAlignment="1">
      <alignment horizontal="left" vertical="center" wrapText="1"/>
    </xf>
    <xf numFmtId="0" fontId="8" fillId="0" borderId="9" xfId="0" applyFont="1" applyBorder="1" applyAlignment="1">
      <alignment horizontal="left" vertical="center" wrapText="1"/>
    </xf>
    <xf numFmtId="0" fontId="8" fillId="0" borderId="30" xfId="0" applyFont="1" applyBorder="1" applyAlignment="1">
      <alignment horizontal="left" vertical="center" wrapText="1" indent="2"/>
    </xf>
    <xf numFmtId="0" fontId="8" fillId="0" borderId="6" xfId="0" applyFont="1" applyBorder="1" applyAlignment="1">
      <alignment horizontal="left" vertical="center" wrapText="1" indent="2"/>
    </xf>
    <xf numFmtId="0" fontId="4" fillId="0" borderId="3" xfId="0" applyFont="1" applyBorder="1" applyAlignment="1">
      <alignment horizontal="left" vertical="center" wrapText="1"/>
    </xf>
    <xf numFmtId="0" fontId="3" fillId="0" borderId="4" xfId="0" applyFont="1" applyBorder="1" applyAlignment="1">
      <alignment horizontal="right" vertical="center" wrapText="1"/>
    </xf>
    <xf numFmtId="3" fontId="15" fillId="0" borderId="6" xfId="0" applyNumberFormat="1" applyFont="1" applyBorder="1" applyAlignment="1">
      <alignment horizontal="left" vertical="center" wrapText="1"/>
    </xf>
    <xf numFmtId="3" fontId="17" fillId="0" borderId="6" xfId="0" applyNumberFormat="1" applyFont="1" applyBorder="1" applyAlignment="1">
      <alignment horizontal="right" vertical="center" wrapText="1"/>
    </xf>
    <xf numFmtId="3" fontId="15" fillId="0" borderId="7" xfId="0" applyNumberFormat="1" applyFont="1" applyBorder="1" applyAlignment="1">
      <alignment horizontal="right" vertical="center" wrapText="1"/>
    </xf>
    <xf numFmtId="0" fontId="15" fillId="0" borderId="11" xfId="0" applyFont="1" applyBorder="1" applyAlignment="1">
      <alignment horizontal="right" vertical="center" wrapText="1"/>
    </xf>
    <xf numFmtId="0" fontId="17" fillId="0" borderId="11" xfId="0" applyFont="1" applyBorder="1" applyAlignment="1">
      <alignment horizontal="right" vertical="center" wrapText="1"/>
    </xf>
    <xf numFmtId="0" fontId="15" fillId="0" borderId="12" xfId="0" applyFont="1" applyBorder="1" applyAlignment="1">
      <alignment horizontal="right" vertical="center" wrapText="1"/>
    </xf>
    <xf numFmtId="0" fontId="20" fillId="0" borderId="0" xfId="0" applyFont="1"/>
    <xf numFmtId="0" fontId="20" fillId="0" borderId="0" xfId="0" applyFont="1" applyAlignment="1">
      <alignment horizontal="left" vertical="center" indent="1"/>
    </xf>
    <xf numFmtId="0" fontId="22" fillId="0" borderId="0" xfId="0" applyFont="1"/>
    <xf numFmtId="0" fontId="3" fillId="0" borderId="4" xfId="0" applyFont="1" applyBorder="1" applyAlignment="1">
      <alignment horizontal="left" vertical="center" wrapText="1"/>
    </xf>
    <xf numFmtId="3" fontId="15" fillId="0" borderId="6" xfId="0" applyNumberFormat="1" applyFont="1" applyBorder="1" applyAlignment="1">
      <alignment horizontal="center" vertical="center" wrapText="1"/>
    </xf>
    <xf numFmtId="0" fontId="15" fillId="0" borderId="7" xfId="0" applyFont="1" applyBorder="1" applyAlignment="1">
      <alignment horizontal="right" vertical="center" wrapText="1"/>
    </xf>
    <xf numFmtId="3" fontId="17" fillId="0" borderId="6" xfId="0" applyNumberFormat="1" applyFont="1" applyBorder="1" applyAlignment="1">
      <alignment horizontal="center" vertical="center" wrapText="1"/>
    </xf>
    <xf numFmtId="3" fontId="17" fillId="0" borderId="7" xfId="0" applyNumberFormat="1" applyFont="1" applyBorder="1" applyAlignment="1">
      <alignment horizontal="right" vertical="center" wrapText="1"/>
    </xf>
    <xf numFmtId="10" fontId="15" fillId="0" borderId="6" xfId="0" applyNumberFormat="1" applyFont="1" applyBorder="1" applyAlignment="1">
      <alignment horizontal="center" vertical="center" wrapText="1"/>
    </xf>
    <xf numFmtId="10" fontId="17" fillId="0" borderId="6" xfId="0" applyNumberFormat="1" applyFont="1" applyBorder="1" applyAlignment="1">
      <alignment horizontal="right" vertical="center" wrapText="1"/>
    </xf>
    <xf numFmtId="10" fontId="15" fillId="0" borderId="7" xfId="0" applyNumberFormat="1" applyFont="1" applyBorder="1" applyAlignment="1">
      <alignment horizontal="right" vertical="center" wrapText="1"/>
    </xf>
    <xf numFmtId="10" fontId="17" fillId="0" borderId="6" xfId="0" applyNumberFormat="1" applyFont="1" applyBorder="1" applyAlignment="1">
      <alignment horizontal="center" vertical="center" wrapText="1"/>
    </xf>
    <xf numFmtId="10" fontId="17" fillId="0" borderId="7" xfId="0" applyNumberFormat="1" applyFont="1" applyBorder="1" applyAlignment="1">
      <alignment horizontal="right" vertical="center" wrapText="1"/>
    </xf>
    <xf numFmtId="0" fontId="17" fillId="0" borderId="6" xfId="0" applyFont="1" applyBorder="1" applyAlignment="1">
      <alignment horizontal="right" vertical="center" wrapText="1"/>
    </xf>
    <xf numFmtId="3" fontId="15" fillId="0" borderId="11" xfId="0" applyNumberFormat="1" applyFont="1" applyBorder="1" applyAlignment="1">
      <alignment horizontal="center" vertical="center" wrapText="1"/>
    </xf>
    <xf numFmtId="3" fontId="17" fillId="0" borderId="11" xfId="0" applyNumberFormat="1" applyFont="1" applyBorder="1" applyAlignment="1">
      <alignment horizontal="right" vertical="center" wrapText="1"/>
    </xf>
    <xf numFmtId="3" fontId="15" fillId="0" borderId="11" xfId="0" applyNumberFormat="1" applyFont="1" applyBorder="1" applyAlignment="1">
      <alignment horizontal="right" vertical="center" wrapText="1"/>
    </xf>
    <xf numFmtId="0" fontId="3" fillId="0" borderId="37" xfId="0" applyFont="1" applyBorder="1" applyAlignment="1">
      <alignment horizontal="left" vertical="center" wrapText="1" indent="1"/>
    </xf>
    <xf numFmtId="0" fontId="3" fillId="0" borderId="3" xfId="0" applyFont="1" applyBorder="1" applyAlignment="1">
      <alignment horizontal="left" vertical="center" wrapText="1" indent="1"/>
    </xf>
    <xf numFmtId="0" fontId="3" fillId="0" borderId="31" xfId="0" applyFont="1" applyBorder="1" applyAlignment="1">
      <alignment horizontal="left" vertical="center" wrapText="1" indent="1"/>
    </xf>
    <xf numFmtId="0" fontId="3" fillId="0" borderId="19" xfId="0" applyFont="1" applyBorder="1" applyAlignment="1">
      <alignment horizontal="left" vertical="center" wrapText="1" indent="1"/>
    </xf>
    <xf numFmtId="0" fontId="3" fillId="0" borderId="8" xfId="0" applyFont="1" applyBorder="1" applyAlignment="1">
      <alignment horizontal="justify" vertical="center" wrapText="1"/>
    </xf>
    <xf numFmtId="0" fontId="3" fillId="0" borderId="13" xfId="0" applyFont="1" applyBorder="1" applyAlignment="1">
      <alignment horizontal="justify" vertical="center" wrapText="1"/>
    </xf>
    <xf numFmtId="0" fontId="3" fillId="0" borderId="5" xfId="0" applyFont="1" applyBorder="1" applyAlignment="1">
      <alignment horizontal="justify" vertical="center" wrapText="1"/>
    </xf>
    <xf numFmtId="0" fontId="4" fillId="0" borderId="31" xfId="0" applyFont="1" applyBorder="1" applyAlignment="1">
      <alignment horizontal="left" vertical="center" wrapText="1" indent="1"/>
    </xf>
    <xf numFmtId="0" fontId="4" fillId="0" borderId="19" xfId="0" applyFont="1" applyBorder="1" applyAlignment="1">
      <alignment horizontal="left" vertical="center" wrapText="1" indent="1"/>
    </xf>
    <xf numFmtId="0" fontId="3" fillId="0" borderId="32" xfId="0" applyFont="1" applyBorder="1" applyAlignment="1">
      <alignment horizontal="left" vertical="center" wrapText="1" indent="1"/>
    </xf>
    <xf numFmtId="0" fontId="3" fillId="0" borderId="33" xfId="0" applyFont="1" applyBorder="1" applyAlignment="1">
      <alignment horizontal="left" vertical="center" wrapText="1" indent="1"/>
    </xf>
    <xf numFmtId="0" fontId="3" fillId="0" borderId="41" xfId="0" applyFont="1" applyBorder="1" applyAlignment="1">
      <alignment horizontal="left" vertical="center" wrapText="1"/>
    </xf>
    <xf numFmtId="0" fontId="3" fillId="0" borderId="6" xfId="0" applyFont="1" applyBorder="1" applyAlignment="1">
      <alignment horizontal="left" vertical="center" wrapText="1"/>
    </xf>
    <xf numFmtId="0" fontId="3" fillId="0" borderId="19" xfId="0" applyFont="1" applyBorder="1" applyAlignment="1">
      <alignment horizontal="left" vertical="center" wrapText="1"/>
    </xf>
    <xf numFmtId="0" fontId="3" fillId="0" borderId="42"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3" fontId="3" fillId="0" borderId="6" xfId="0" applyNumberFormat="1" applyFont="1" applyBorder="1" applyAlignment="1">
      <alignment horizontal="left" vertical="center" wrapText="1"/>
    </xf>
    <xf numFmtId="10" fontId="3" fillId="0" borderId="6" xfId="0" applyNumberFormat="1" applyFont="1" applyBorder="1" applyAlignment="1">
      <alignment horizontal="left" vertical="center" wrapText="1" indent="1"/>
    </xf>
    <xf numFmtId="10" fontId="3" fillId="0" borderId="11" xfId="0" applyNumberFormat="1" applyFont="1" applyBorder="1" applyAlignment="1">
      <alignment horizontal="left" vertical="center" wrapText="1" indent="1"/>
    </xf>
    <xf numFmtId="0" fontId="3" fillId="0" borderId="38"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31" xfId="0" applyFont="1" applyBorder="1" applyAlignment="1">
      <alignment horizontal="left" vertical="center" wrapText="1" indent="2"/>
    </xf>
    <xf numFmtId="0" fontId="3" fillId="0" borderId="19" xfId="0" applyFont="1" applyBorder="1" applyAlignment="1">
      <alignment horizontal="left" vertical="center" wrapText="1" indent="2"/>
    </xf>
    <xf numFmtId="3" fontId="3" fillId="0" borderId="46" xfId="0" applyNumberFormat="1" applyFont="1" applyBorder="1" applyAlignment="1">
      <alignment horizontal="left" vertical="center" wrapText="1" indent="3"/>
    </xf>
    <xf numFmtId="3" fontId="3" fillId="0" borderId="19" xfId="0" applyNumberFormat="1" applyFont="1" applyBorder="1" applyAlignment="1">
      <alignment horizontal="left" vertical="center" wrapText="1" indent="3"/>
    </xf>
    <xf numFmtId="3" fontId="3" fillId="0" borderId="20" xfId="0" applyNumberFormat="1" applyFont="1" applyBorder="1" applyAlignment="1">
      <alignment horizontal="left" vertical="center" wrapText="1" indent="3"/>
    </xf>
    <xf numFmtId="0" fontId="3" fillId="0" borderId="8" xfId="0" applyFont="1" applyBorder="1" applyAlignment="1">
      <alignment horizontal="left" vertical="center" wrapText="1"/>
    </xf>
    <xf numFmtId="0" fontId="3" fillId="0" borderId="13" xfId="0" applyFont="1" applyBorder="1" applyAlignment="1">
      <alignment horizontal="left" vertical="center" wrapText="1"/>
    </xf>
    <xf numFmtId="0" fontId="3" fillId="0" borderId="5" xfId="0" applyFont="1" applyBorder="1" applyAlignment="1">
      <alignment horizontal="left" vertical="center" wrapText="1"/>
    </xf>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47" xfId="0" applyFont="1" applyBorder="1" applyAlignment="1">
      <alignment horizontal="left" vertical="center" wrapText="1"/>
    </xf>
    <xf numFmtId="0" fontId="3" fillId="0" borderId="6" xfId="0" applyFont="1" applyBorder="1" applyAlignment="1">
      <alignment horizontal="left" vertical="center" wrapText="1" indent="1"/>
    </xf>
    <xf numFmtId="0" fontId="3" fillId="0" borderId="6" xfId="0" applyFont="1" applyBorder="1" applyAlignment="1">
      <alignment horizontal="left" vertical="center" wrapText="1" indent="2"/>
    </xf>
    <xf numFmtId="10" fontId="4" fillId="0" borderId="7" xfId="0" applyNumberFormat="1" applyFont="1" applyBorder="1" applyAlignment="1">
      <alignment horizontal="right" vertical="center" wrapText="1"/>
    </xf>
    <xf numFmtId="0" fontId="3" fillId="0" borderId="11" xfId="0" applyFont="1" applyBorder="1" applyAlignment="1">
      <alignment horizontal="right" vertical="center" wrapText="1"/>
    </xf>
    <xf numFmtId="0" fontId="3" fillId="0" borderId="47" xfId="0" applyFont="1" applyBorder="1" applyAlignment="1">
      <alignment horizontal="left" vertical="center" wrapText="1" indent="1"/>
    </xf>
    <xf numFmtId="0" fontId="3" fillId="0" borderId="5" xfId="0" applyFont="1" applyBorder="1" applyAlignment="1">
      <alignment horizontal="left" vertical="center" wrapText="1" indent="1"/>
    </xf>
    <xf numFmtId="0" fontId="3" fillId="0" borderId="49"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50" xfId="0" applyFont="1" applyBorder="1" applyAlignment="1">
      <alignment horizontal="left" vertical="center" wrapText="1" indent="1"/>
    </xf>
    <xf numFmtId="0" fontId="3" fillId="0" borderId="17" xfId="0" applyFont="1" applyBorder="1" applyAlignment="1">
      <alignment horizontal="left" vertical="center" wrapText="1" indent="1"/>
    </xf>
    <xf numFmtId="0" fontId="22" fillId="0" borderId="0" xfId="0" applyFont="1" applyAlignment="1">
      <alignment horizontal="left" vertical="center" indent="1"/>
    </xf>
    <xf numFmtId="0" fontId="3" fillId="0" borderId="12" xfId="0" applyFont="1" applyBorder="1" applyAlignment="1">
      <alignment horizontal="right" vertical="center" wrapText="1"/>
    </xf>
    <xf numFmtId="0" fontId="22" fillId="0" borderId="0" xfId="0" applyFont="1" applyAlignment="1">
      <alignment vertical="center"/>
    </xf>
    <xf numFmtId="0" fontId="3" fillId="0" borderId="2" xfId="0" applyFont="1" applyBorder="1" applyAlignment="1">
      <alignment horizontal="left" vertical="center" wrapText="1" indent="1"/>
    </xf>
    <xf numFmtId="10" fontId="3" fillId="0" borderId="6" xfId="0" applyNumberFormat="1" applyFont="1" applyBorder="1" applyAlignment="1">
      <alignment horizontal="left" vertical="center" wrapText="1"/>
    </xf>
    <xf numFmtId="10" fontId="4" fillId="0" borderId="6" xfId="0" applyNumberFormat="1" applyFont="1" applyBorder="1" applyAlignment="1">
      <alignment horizontal="right" vertical="center" wrapText="1"/>
    </xf>
    <xf numFmtId="0" fontId="3" fillId="0" borderId="10" xfId="0" applyFont="1" applyBorder="1" applyAlignment="1">
      <alignment horizontal="left" vertical="center" wrapText="1"/>
    </xf>
    <xf numFmtId="10" fontId="3" fillId="0" borderId="14" xfId="0" applyNumberFormat="1" applyFont="1" applyBorder="1" applyAlignment="1">
      <alignment horizontal="right" vertical="center" wrapText="1"/>
    </xf>
    <xf numFmtId="10" fontId="3" fillId="0" borderId="15" xfId="0" applyNumberFormat="1" applyFont="1" applyBorder="1" applyAlignment="1">
      <alignment horizontal="right" vertical="center" wrapText="1"/>
    </xf>
    <xf numFmtId="10" fontId="4" fillId="0" borderId="14" xfId="0" applyNumberFormat="1" applyFont="1" applyBorder="1" applyAlignment="1">
      <alignment horizontal="right" vertical="center" wrapText="1"/>
    </xf>
    <xf numFmtId="10" fontId="4" fillId="0" borderId="15" xfId="0" applyNumberFormat="1" applyFont="1" applyBorder="1" applyAlignment="1">
      <alignment horizontal="right" vertical="center" wrapText="1"/>
    </xf>
    <xf numFmtId="10" fontId="3" fillId="0" borderId="16" xfId="0" applyNumberFormat="1" applyFont="1" applyBorder="1" applyAlignment="1">
      <alignment horizontal="right" vertical="center" wrapText="1"/>
    </xf>
    <xf numFmtId="10" fontId="3" fillId="0" borderId="17" xfId="0" applyNumberFormat="1" applyFont="1" applyBorder="1" applyAlignment="1">
      <alignment horizontal="right" vertical="center" wrapText="1"/>
    </xf>
    <xf numFmtId="10" fontId="3" fillId="0" borderId="51" xfId="0" applyNumberFormat="1" applyFont="1" applyBorder="1" applyAlignment="1">
      <alignment horizontal="right" vertical="center" wrapText="1"/>
    </xf>
    <xf numFmtId="10" fontId="3" fillId="0" borderId="14" xfId="0" applyNumberFormat="1" applyFont="1" applyBorder="1" applyAlignment="1">
      <alignment horizontal="left" vertical="center" wrapText="1"/>
    </xf>
    <xf numFmtId="10" fontId="3" fillId="0" borderId="51" xfId="0" applyNumberFormat="1" applyFont="1" applyBorder="1" applyAlignment="1">
      <alignment horizontal="left" vertical="center" wrapText="1"/>
    </xf>
    <xf numFmtId="10" fontId="4" fillId="0" borderId="51" xfId="0" applyNumberFormat="1" applyFont="1" applyBorder="1" applyAlignment="1">
      <alignment horizontal="right" vertical="center" wrapText="1"/>
    </xf>
    <xf numFmtId="10" fontId="3" fillId="0" borderId="52" xfId="0" applyNumberFormat="1" applyFont="1" applyBorder="1" applyAlignment="1">
      <alignment horizontal="right" vertical="center" wrapText="1"/>
    </xf>
  </cellXfs>
  <cellStyles count="3">
    <cellStyle name="백분율" xfId="2" builtinId="5"/>
    <cellStyle name="쉼표 [0]" xfId="1" builtinId="6"/>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6"/>
  <sheetViews>
    <sheetView showGridLines="0" topLeftCell="A154" zoomScale="70" zoomScaleNormal="70" workbookViewId="0">
      <selection activeCell="G169" sqref="G169"/>
    </sheetView>
  </sheetViews>
  <sheetFormatPr defaultRowHeight="17" x14ac:dyDescent="0.45"/>
  <cols>
    <col min="1" max="1" width="3.4140625" customWidth="1"/>
    <col min="2" max="5" width="17.33203125" customWidth="1"/>
    <col min="6" max="6" width="17.33203125" style="4" customWidth="1"/>
    <col min="7" max="8" width="17.33203125" customWidth="1"/>
    <col min="9" max="9" width="3.83203125" customWidth="1"/>
    <col min="10" max="10" width="2.6640625" customWidth="1"/>
    <col min="11" max="13" width="16.08203125" customWidth="1"/>
  </cols>
  <sheetData>
    <row r="1" spans="2:13" x14ac:dyDescent="0.45">
      <c r="E1" t="s">
        <v>518</v>
      </c>
      <c r="F1" s="4" t="s">
        <v>527</v>
      </c>
    </row>
    <row r="2" spans="2:13" x14ac:dyDescent="0.45">
      <c r="E2" t="s">
        <v>520</v>
      </c>
      <c r="F2" s="4" t="s">
        <v>524</v>
      </c>
    </row>
    <row r="3" spans="2:13" x14ac:dyDescent="0.45">
      <c r="E3" t="s">
        <v>522</v>
      </c>
      <c r="F3" s="4" t="s">
        <v>528</v>
      </c>
    </row>
    <row r="4" spans="2:13" x14ac:dyDescent="0.45">
      <c r="C4" s="1"/>
      <c r="D4" s="1"/>
      <c r="E4" s="1"/>
      <c r="F4" s="8"/>
      <c r="G4" s="1"/>
      <c r="H4" s="1"/>
      <c r="J4" s="2"/>
      <c r="K4" s="3" t="s">
        <v>511</v>
      </c>
    </row>
    <row r="5" spans="2:13" x14ac:dyDescent="0.45">
      <c r="B5" t="s">
        <v>0</v>
      </c>
      <c r="C5" s="1"/>
      <c r="D5" s="1"/>
      <c r="E5" s="1"/>
      <c r="F5" s="8"/>
      <c r="G5" s="1"/>
      <c r="H5" s="1"/>
      <c r="J5" s="2"/>
      <c r="K5" t="s">
        <v>512</v>
      </c>
      <c r="L5" t="s">
        <v>513</v>
      </c>
      <c r="M5" t="s">
        <v>514</v>
      </c>
    </row>
    <row r="6" spans="2:13" s="4" customFormat="1" x14ac:dyDescent="0.45">
      <c r="B6" s="5" t="s">
        <v>1</v>
      </c>
      <c r="C6" s="6" t="s">
        <v>2</v>
      </c>
      <c r="D6" s="6" t="s">
        <v>3</v>
      </c>
      <c r="E6" s="6" t="s">
        <v>516</v>
      </c>
      <c r="F6" s="6" t="s">
        <v>526</v>
      </c>
      <c r="G6" s="6" t="s">
        <v>4</v>
      </c>
      <c r="H6" s="6" t="s">
        <v>5</v>
      </c>
      <c r="J6" s="7"/>
      <c r="K6" s="6">
        <v>1</v>
      </c>
      <c r="L6" s="6">
        <f>K6+1</f>
        <v>2</v>
      </c>
      <c r="M6" s="6">
        <f t="shared" ref="M6" si="0">L6+1</f>
        <v>3</v>
      </c>
    </row>
    <row r="7" spans="2:13" x14ac:dyDescent="0.45">
      <c r="B7" t="s">
        <v>6</v>
      </c>
      <c r="C7" s="1" t="s">
        <v>7</v>
      </c>
      <c r="D7" s="1" t="s">
        <v>8</v>
      </c>
      <c r="E7" s="8" t="s">
        <v>517</v>
      </c>
      <c r="F7" s="8" t="s">
        <v>525</v>
      </c>
      <c r="G7" s="1" t="s">
        <v>10</v>
      </c>
      <c r="H7" s="1" t="s">
        <v>11</v>
      </c>
      <c r="J7" s="2"/>
      <c r="K7" s="8" t="s">
        <v>515</v>
      </c>
    </row>
    <row r="8" spans="2:13" x14ac:dyDescent="0.45">
      <c r="B8" t="s">
        <v>12</v>
      </c>
      <c r="C8" s="1" t="s">
        <v>13</v>
      </c>
      <c r="D8" s="1" t="s">
        <v>14</v>
      </c>
      <c r="E8" s="8" t="s">
        <v>519</v>
      </c>
      <c r="F8" s="8" t="s">
        <v>525</v>
      </c>
      <c r="G8" s="1" t="s">
        <v>10</v>
      </c>
      <c r="H8" s="1" t="s">
        <v>15</v>
      </c>
      <c r="J8" s="2"/>
      <c r="K8" s="8" t="s">
        <v>515</v>
      </c>
    </row>
    <row r="9" spans="2:13" x14ac:dyDescent="0.45">
      <c r="B9" t="s">
        <v>16</v>
      </c>
      <c r="C9" s="1" t="s">
        <v>17</v>
      </c>
      <c r="D9" s="1" t="s">
        <v>18</v>
      </c>
      <c r="E9" s="8" t="s">
        <v>517</v>
      </c>
      <c r="F9" s="8" t="s">
        <v>525</v>
      </c>
      <c r="G9" s="1" t="s">
        <v>10</v>
      </c>
      <c r="H9" s="1" t="s">
        <v>15</v>
      </c>
      <c r="J9" s="2"/>
      <c r="K9" s="8" t="s">
        <v>515</v>
      </c>
    </row>
    <row r="10" spans="2:13" x14ac:dyDescent="0.45">
      <c r="B10" t="s">
        <v>19</v>
      </c>
      <c r="C10" s="1" t="s">
        <v>20</v>
      </c>
      <c r="D10" s="1" t="s">
        <v>21</v>
      </c>
      <c r="E10" s="8" t="s">
        <v>521</v>
      </c>
      <c r="F10" s="8" t="s">
        <v>525</v>
      </c>
      <c r="G10" s="1" t="s">
        <v>22</v>
      </c>
      <c r="H10" s="1" t="s">
        <v>23</v>
      </c>
      <c r="J10" s="2"/>
      <c r="K10" s="8" t="s">
        <v>515</v>
      </c>
    </row>
    <row r="11" spans="2:13" x14ac:dyDescent="0.45">
      <c r="B11" t="s">
        <v>24</v>
      </c>
      <c r="C11" s="1" t="s">
        <v>25</v>
      </c>
      <c r="D11" s="1" t="s">
        <v>8</v>
      </c>
      <c r="E11" s="8" t="s">
        <v>521</v>
      </c>
      <c r="F11" s="8" t="s">
        <v>525</v>
      </c>
      <c r="G11" s="1" t="s">
        <v>10</v>
      </c>
      <c r="H11" s="1" t="s">
        <v>26</v>
      </c>
      <c r="J11" s="2"/>
      <c r="K11" s="8" t="s">
        <v>515</v>
      </c>
    </row>
    <row r="12" spans="2:13" x14ac:dyDescent="0.45">
      <c r="B12" t="s">
        <v>27</v>
      </c>
      <c r="C12" s="1" t="s">
        <v>28</v>
      </c>
      <c r="D12" s="1" t="s">
        <v>8</v>
      </c>
      <c r="E12" s="8" t="s">
        <v>517</v>
      </c>
      <c r="F12" s="8" t="s">
        <v>525</v>
      </c>
      <c r="G12" s="1" t="s">
        <v>10</v>
      </c>
      <c r="H12" s="1" t="s">
        <v>29</v>
      </c>
      <c r="J12" s="2"/>
      <c r="K12" s="8" t="s">
        <v>515</v>
      </c>
    </row>
    <row r="13" spans="2:13" x14ac:dyDescent="0.45">
      <c r="B13" t="s">
        <v>30</v>
      </c>
      <c r="C13" s="1" t="s">
        <v>31</v>
      </c>
      <c r="D13" s="1" t="s">
        <v>8</v>
      </c>
      <c r="E13" s="8" t="s">
        <v>517</v>
      </c>
      <c r="F13" s="8" t="s">
        <v>525</v>
      </c>
      <c r="G13" s="1" t="s">
        <v>10</v>
      </c>
      <c r="H13" s="1" t="s">
        <v>15</v>
      </c>
      <c r="J13" s="2"/>
      <c r="K13" s="8" t="s">
        <v>515</v>
      </c>
    </row>
    <row r="14" spans="2:13" x14ac:dyDescent="0.45">
      <c r="B14" t="s">
        <v>32</v>
      </c>
      <c r="C14" s="1" t="s">
        <v>33</v>
      </c>
      <c r="D14" s="1" t="s">
        <v>8</v>
      </c>
      <c r="E14" s="8" t="s">
        <v>517</v>
      </c>
      <c r="F14" s="8" t="s">
        <v>525</v>
      </c>
      <c r="G14" s="1" t="s">
        <v>34</v>
      </c>
      <c r="H14" s="1"/>
      <c r="J14" s="2"/>
      <c r="K14" s="8" t="s">
        <v>515</v>
      </c>
    </row>
    <row r="15" spans="2:13" x14ac:dyDescent="0.45">
      <c r="B15" t="s">
        <v>35</v>
      </c>
      <c r="C15" s="1" t="s">
        <v>36</v>
      </c>
      <c r="D15" s="1" t="s">
        <v>8</v>
      </c>
      <c r="E15" s="8" t="s">
        <v>519</v>
      </c>
      <c r="F15" s="8" t="s">
        <v>525</v>
      </c>
      <c r="G15" s="1" t="s">
        <v>37</v>
      </c>
      <c r="H15" s="1" t="s">
        <v>500</v>
      </c>
      <c r="J15" s="2"/>
      <c r="K15" s="8" t="s">
        <v>515</v>
      </c>
    </row>
    <row r="16" spans="2:13" x14ac:dyDescent="0.45">
      <c r="B16" t="s">
        <v>38</v>
      </c>
      <c r="C16" s="1" t="s">
        <v>39</v>
      </c>
      <c r="D16" s="1" t="s">
        <v>40</v>
      </c>
      <c r="E16" s="8" t="s">
        <v>519</v>
      </c>
      <c r="F16" s="8" t="s">
        <v>525</v>
      </c>
      <c r="G16" s="1" t="s">
        <v>41</v>
      </c>
      <c r="H16" s="1" t="s">
        <v>42</v>
      </c>
      <c r="J16" s="2"/>
      <c r="K16" s="8" t="s">
        <v>515</v>
      </c>
    </row>
    <row r="17" spans="2:11" x14ac:dyDescent="0.45">
      <c r="B17" t="s">
        <v>43</v>
      </c>
      <c r="C17" s="1" t="s">
        <v>44</v>
      </c>
      <c r="D17" s="1" t="s">
        <v>45</v>
      </c>
      <c r="E17" s="8" t="s">
        <v>521</v>
      </c>
      <c r="F17" s="8" t="s">
        <v>525</v>
      </c>
      <c r="G17" s="1" t="s">
        <v>46</v>
      </c>
      <c r="H17" s="1" t="s">
        <v>47</v>
      </c>
      <c r="J17" s="2"/>
      <c r="K17" s="8" t="s">
        <v>523</v>
      </c>
    </row>
    <row r="18" spans="2:11" x14ac:dyDescent="0.45">
      <c r="C18" s="1"/>
      <c r="D18" s="1"/>
      <c r="E18" s="8"/>
      <c r="F18" s="8"/>
      <c r="G18" s="1"/>
      <c r="H18" s="1"/>
      <c r="J18" s="2"/>
      <c r="K18" s="4"/>
    </row>
    <row r="19" spans="2:11" x14ac:dyDescent="0.45">
      <c r="B19" t="s">
        <v>48</v>
      </c>
      <c r="C19" s="1"/>
      <c r="D19" s="1"/>
      <c r="E19" s="8"/>
      <c r="F19" s="8"/>
      <c r="G19" s="1"/>
      <c r="H19" s="1"/>
      <c r="J19" s="2"/>
      <c r="K19" s="4"/>
    </row>
    <row r="20" spans="2:11" x14ac:dyDescent="0.45">
      <c r="B20" t="s">
        <v>49</v>
      </c>
      <c r="C20" s="1" t="s">
        <v>50</v>
      </c>
      <c r="D20" s="1" t="s">
        <v>51</v>
      </c>
      <c r="E20" s="8" t="s">
        <v>9</v>
      </c>
      <c r="F20" s="8" t="s">
        <v>524</v>
      </c>
      <c r="G20" s="1" t="s">
        <v>52</v>
      </c>
      <c r="H20" s="1" t="s">
        <v>501</v>
      </c>
      <c r="J20" s="2"/>
      <c r="K20" s="4"/>
    </row>
    <row r="21" spans="2:11" x14ac:dyDescent="0.45">
      <c r="B21" t="s">
        <v>53</v>
      </c>
      <c r="C21" s="1" t="s">
        <v>54</v>
      </c>
      <c r="D21" s="1" t="s">
        <v>8</v>
      </c>
      <c r="E21" s="8" t="s">
        <v>9</v>
      </c>
      <c r="F21" s="8" t="s">
        <v>524</v>
      </c>
      <c r="G21" s="1" t="s">
        <v>55</v>
      </c>
      <c r="H21" s="1" t="s">
        <v>56</v>
      </c>
      <c r="J21" s="2"/>
      <c r="K21" s="4"/>
    </row>
    <row r="22" spans="2:11" x14ac:dyDescent="0.45">
      <c r="B22" t="s">
        <v>57</v>
      </c>
      <c r="C22" s="1" t="s">
        <v>58</v>
      </c>
      <c r="D22" s="1" t="s">
        <v>59</v>
      </c>
      <c r="E22" s="8" t="s">
        <v>9</v>
      </c>
      <c r="F22" s="8" t="s">
        <v>524</v>
      </c>
      <c r="G22" s="1" t="s">
        <v>60</v>
      </c>
      <c r="H22" s="1" t="s">
        <v>61</v>
      </c>
      <c r="J22" s="2"/>
      <c r="K22" s="4"/>
    </row>
    <row r="23" spans="2:11" x14ac:dyDescent="0.45">
      <c r="B23" t="s">
        <v>62</v>
      </c>
      <c r="C23" s="1" t="s">
        <v>63</v>
      </c>
      <c r="D23" s="1" t="s">
        <v>64</v>
      </c>
      <c r="E23" s="8" t="s">
        <v>9</v>
      </c>
      <c r="F23" s="8" t="s">
        <v>524</v>
      </c>
      <c r="G23" s="1" t="s">
        <v>65</v>
      </c>
      <c r="H23" s="1" t="s">
        <v>66</v>
      </c>
      <c r="J23" s="2"/>
      <c r="K23" s="4"/>
    </row>
    <row r="24" spans="2:11" x14ac:dyDescent="0.45">
      <c r="B24" t="s">
        <v>67</v>
      </c>
      <c r="C24" s="1" t="s">
        <v>68</v>
      </c>
      <c r="D24" s="1" t="s">
        <v>18</v>
      </c>
      <c r="E24" s="8" t="s">
        <v>9</v>
      </c>
      <c r="F24" s="8" t="s">
        <v>524</v>
      </c>
      <c r="G24" s="1" t="s">
        <v>69</v>
      </c>
      <c r="H24" s="1" t="s">
        <v>70</v>
      </c>
      <c r="J24" s="2"/>
      <c r="K24" s="4"/>
    </row>
    <row r="25" spans="2:11" x14ac:dyDescent="0.45">
      <c r="B25" t="s">
        <v>71</v>
      </c>
      <c r="C25" s="1" t="s">
        <v>72</v>
      </c>
      <c r="D25" s="1" t="s">
        <v>73</v>
      </c>
      <c r="E25" s="8" t="s">
        <v>9</v>
      </c>
      <c r="F25" s="8" t="s">
        <v>524</v>
      </c>
      <c r="G25" s="1" t="s">
        <v>74</v>
      </c>
      <c r="H25" s="1" t="s">
        <v>75</v>
      </c>
      <c r="J25" s="2"/>
      <c r="K25" s="4"/>
    </row>
    <row r="26" spans="2:11" x14ac:dyDescent="0.45">
      <c r="B26" t="s">
        <v>76</v>
      </c>
      <c r="C26" s="1" t="s">
        <v>77</v>
      </c>
      <c r="D26" s="1" t="s">
        <v>78</v>
      </c>
      <c r="E26" s="8" t="s">
        <v>79</v>
      </c>
      <c r="F26" s="8" t="s">
        <v>524</v>
      </c>
      <c r="G26" s="1" t="s">
        <v>80</v>
      </c>
      <c r="H26" s="1" t="s">
        <v>81</v>
      </c>
      <c r="J26" s="2"/>
      <c r="K26" s="4"/>
    </row>
    <row r="27" spans="2:11" x14ac:dyDescent="0.45">
      <c r="B27" t="s">
        <v>82</v>
      </c>
      <c r="C27" s="1" t="s">
        <v>83</v>
      </c>
      <c r="D27" s="1" t="s">
        <v>84</v>
      </c>
      <c r="E27" s="8" t="s">
        <v>9</v>
      </c>
      <c r="F27" s="8" t="s">
        <v>524</v>
      </c>
      <c r="G27" s="1" t="s">
        <v>85</v>
      </c>
      <c r="H27" s="1" t="s">
        <v>86</v>
      </c>
      <c r="J27" s="2"/>
      <c r="K27" s="4"/>
    </row>
    <row r="28" spans="2:11" x14ac:dyDescent="0.45">
      <c r="B28" t="s">
        <v>87</v>
      </c>
      <c r="C28" s="1" t="s">
        <v>88</v>
      </c>
      <c r="D28" s="1" t="s">
        <v>89</v>
      </c>
      <c r="E28" s="8" t="s">
        <v>90</v>
      </c>
      <c r="F28" s="8" t="s">
        <v>524</v>
      </c>
      <c r="G28" s="1" t="s">
        <v>91</v>
      </c>
      <c r="H28" s="1" t="s">
        <v>502</v>
      </c>
      <c r="J28" s="2"/>
      <c r="K28" s="4"/>
    </row>
    <row r="29" spans="2:11" x14ac:dyDescent="0.45">
      <c r="B29" t="s">
        <v>92</v>
      </c>
      <c r="C29" s="1" t="s">
        <v>93</v>
      </c>
      <c r="D29" s="1" t="s">
        <v>94</v>
      </c>
      <c r="E29" s="8" t="s">
        <v>95</v>
      </c>
      <c r="F29" s="8" t="s">
        <v>524</v>
      </c>
      <c r="G29" s="1" t="s">
        <v>96</v>
      </c>
      <c r="H29" s="1" t="s">
        <v>97</v>
      </c>
      <c r="J29" s="2"/>
      <c r="K29" s="4"/>
    </row>
    <row r="30" spans="2:11" x14ac:dyDescent="0.45">
      <c r="B30" t="s">
        <v>98</v>
      </c>
      <c r="C30" s="1" t="s">
        <v>99</v>
      </c>
      <c r="D30" s="1" t="s">
        <v>8</v>
      </c>
      <c r="E30" s="8" t="s">
        <v>9</v>
      </c>
      <c r="F30" s="8" t="s">
        <v>524</v>
      </c>
      <c r="G30" s="1" t="s">
        <v>100</v>
      </c>
      <c r="H30" s="1" t="s">
        <v>101</v>
      </c>
      <c r="J30" s="2"/>
      <c r="K30" s="4"/>
    </row>
    <row r="31" spans="2:11" x14ac:dyDescent="0.45">
      <c r="B31" t="s">
        <v>102</v>
      </c>
      <c r="C31" s="1" t="s">
        <v>103</v>
      </c>
      <c r="D31" s="1" t="s">
        <v>104</v>
      </c>
      <c r="E31" s="8" t="s">
        <v>105</v>
      </c>
      <c r="F31" s="8" t="s">
        <v>524</v>
      </c>
      <c r="G31" s="1" t="s">
        <v>106</v>
      </c>
      <c r="H31" s="1" t="s">
        <v>107</v>
      </c>
      <c r="J31" s="2"/>
      <c r="K31" s="4"/>
    </row>
    <row r="32" spans="2:11" x14ac:dyDescent="0.45">
      <c r="B32" t="s">
        <v>108</v>
      </c>
      <c r="C32" s="1" t="s">
        <v>109</v>
      </c>
      <c r="D32" s="1" t="s">
        <v>104</v>
      </c>
      <c r="E32" s="8" t="s">
        <v>105</v>
      </c>
      <c r="F32" s="8" t="s">
        <v>524</v>
      </c>
      <c r="G32" s="1" t="s">
        <v>110</v>
      </c>
      <c r="H32" s="1" t="s">
        <v>111</v>
      </c>
      <c r="J32" s="2"/>
      <c r="K32" s="4"/>
    </row>
    <row r="33" spans="2:11" x14ac:dyDescent="0.45">
      <c r="B33" t="s">
        <v>112</v>
      </c>
      <c r="C33" s="1" t="s">
        <v>113</v>
      </c>
      <c r="D33" s="1" t="s">
        <v>104</v>
      </c>
      <c r="E33" s="8" t="s">
        <v>105</v>
      </c>
      <c r="F33" s="8" t="s">
        <v>524</v>
      </c>
      <c r="G33" s="1" t="s">
        <v>114</v>
      </c>
      <c r="H33" s="1" t="s">
        <v>115</v>
      </c>
      <c r="J33" s="2"/>
      <c r="K33" s="4"/>
    </row>
    <row r="34" spans="2:11" x14ac:dyDescent="0.45">
      <c r="C34" s="1"/>
      <c r="D34" s="1"/>
      <c r="E34" s="8"/>
      <c r="F34" s="8"/>
      <c r="G34" s="1"/>
      <c r="H34" s="1"/>
      <c r="J34" s="2"/>
      <c r="K34" s="4"/>
    </row>
    <row r="35" spans="2:11" x14ac:dyDescent="0.45">
      <c r="B35" t="s">
        <v>116</v>
      </c>
      <c r="C35" s="1"/>
      <c r="D35" s="1"/>
      <c r="E35" s="8"/>
      <c r="F35" s="8"/>
      <c r="G35" s="1"/>
      <c r="H35" s="1"/>
      <c r="J35" s="2"/>
      <c r="K35" s="4"/>
    </row>
    <row r="36" spans="2:11" x14ac:dyDescent="0.45">
      <c r="B36" t="s">
        <v>117</v>
      </c>
      <c r="C36" s="1" t="s">
        <v>118</v>
      </c>
      <c r="D36" s="1" t="s">
        <v>59</v>
      </c>
      <c r="E36" s="8" t="s">
        <v>9</v>
      </c>
      <c r="F36" s="8" t="s">
        <v>524</v>
      </c>
      <c r="G36" s="1" t="s">
        <v>119</v>
      </c>
      <c r="H36" s="1" t="s">
        <v>120</v>
      </c>
      <c r="J36" s="2"/>
      <c r="K36" s="4"/>
    </row>
    <row r="37" spans="2:11" x14ac:dyDescent="0.45">
      <c r="B37" t="s">
        <v>121</v>
      </c>
      <c r="C37" s="1" t="s">
        <v>122</v>
      </c>
      <c r="D37" s="1" t="s">
        <v>123</v>
      </c>
      <c r="E37" s="8" t="s">
        <v>9</v>
      </c>
      <c r="F37" s="8" t="s">
        <v>524</v>
      </c>
      <c r="G37" s="1" t="s">
        <v>124</v>
      </c>
      <c r="H37" s="1" t="s">
        <v>125</v>
      </c>
      <c r="J37" s="2"/>
      <c r="K37" s="4"/>
    </row>
    <row r="38" spans="2:11" x14ac:dyDescent="0.45">
      <c r="B38" t="s">
        <v>126</v>
      </c>
      <c r="C38" s="1" t="s">
        <v>127</v>
      </c>
      <c r="D38" s="1" t="s">
        <v>94</v>
      </c>
      <c r="E38" s="8" t="s">
        <v>9</v>
      </c>
      <c r="F38" s="8" t="s">
        <v>524</v>
      </c>
      <c r="G38" s="1" t="s">
        <v>128</v>
      </c>
      <c r="H38" s="1" t="s">
        <v>129</v>
      </c>
      <c r="J38" s="2"/>
      <c r="K38" s="4"/>
    </row>
    <row r="39" spans="2:11" x14ac:dyDescent="0.45">
      <c r="B39" t="s">
        <v>130</v>
      </c>
      <c r="C39" s="1" t="s">
        <v>131</v>
      </c>
      <c r="D39" s="1" t="s">
        <v>132</v>
      </c>
      <c r="E39" s="8" t="s">
        <v>9</v>
      </c>
      <c r="F39" s="8" t="s">
        <v>524</v>
      </c>
      <c r="G39" s="1" t="s">
        <v>133</v>
      </c>
      <c r="H39" s="1" t="s">
        <v>134</v>
      </c>
      <c r="J39" s="2"/>
      <c r="K39" s="4"/>
    </row>
    <row r="40" spans="2:11" x14ac:dyDescent="0.45">
      <c r="B40" t="s">
        <v>135</v>
      </c>
      <c r="C40" s="1" t="s">
        <v>136</v>
      </c>
      <c r="D40" s="1" t="s">
        <v>8</v>
      </c>
      <c r="E40" s="8" t="s">
        <v>9</v>
      </c>
      <c r="F40" s="8" t="s">
        <v>524</v>
      </c>
      <c r="G40" s="1" t="s">
        <v>137</v>
      </c>
      <c r="H40" s="1" t="s">
        <v>138</v>
      </c>
      <c r="J40" s="2"/>
      <c r="K40" s="4"/>
    </row>
    <row r="41" spans="2:11" x14ac:dyDescent="0.45">
      <c r="B41" t="s">
        <v>139</v>
      </c>
      <c r="C41" s="1" t="s">
        <v>140</v>
      </c>
      <c r="D41" s="1" t="s">
        <v>141</v>
      </c>
      <c r="E41" s="8" t="s">
        <v>9</v>
      </c>
      <c r="F41" s="8" t="s">
        <v>524</v>
      </c>
      <c r="G41" s="1" t="s">
        <v>137</v>
      </c>
      <c r="H41" s="1" t="s">
        <v>15</v>
      </c>
      <c r="J41" s="2"/>
      <c r="K41" s="4"/>
    </row>
    <row r="42" spans="2:11" x14ac:dyDescent="0.45">
      <c r="B42" t="s">
        <v>142</v>
      </c>
      <c r="C42" s="1" t="s">
        <v>143</v>
      </c>
      <c r="D42" s="1" t="s">
        <v>59</v>
      </c>
      <c r="E42" s="8" t="s">
        <v>9</v>
      </c>
      <c r="F42" s="8" t="s">
        <v>524</v>
      </c>
      <c r="G42" s="1" t="s">
        <v>144</v>
      </c>
      <c r="H42" s="1" t="s">
        <v>145</v>
      </c>
      <c r="J42" s="2"/>
      <c r="K42" s="4"/>
    </row>
    <row r="43" spans="2:11" x14ac:dyDescent="0.45">
      <c r="B43" t="s">
        <v>146</v>
      </c>
      <c r="C43" s="1" t="s">
        <v>147</v>
      </c>
      <c r="D43" s="1" t="s">
        <v>8</v>
      </c>
      <c r="E43" s="8" t="s">
        <v>9</v>
      </c>
      <c r="F43" s="8" t="s">
        <v>524</v>
      </c>
      <c r="G43" s="1" t="s">
        <v>148</v>
      </c>
      <c r="H43" s="1" t="s">
        <v>149</v>
      </c>
      <c r="J43" s="2"/>
      <c r="K43" s="4"/>
    </row>
    <row r="44" spans="2:11" x14ac:dyDescent="0.45">
      <c r="B44" t="s">
        <v>150</v>
      </c>
      <c r="C44" s="1" t="s">
        <v>151</v>
      </c>
      <c r="D44" s="1" t="s">
        <v>152</v>
      </c>
      <c r="E44" s="8" t="s">
        <v>153</v>
      </c>
      <c r="F44" s="8" t="s">
        <v>525</v>
      </c>
      <c r="G44" s="1" t="s">
        <v>154</v>
      </c>
      <c r="H44" s="1" t="s">
        <v>155</v>
      </c>
      <c r="J44" s="2"/>
      <c r="K44" s="4"/>
    </row>
    <row r="45" spans="2:11" x14ac:dyDescent="0.45">
      <c r="B45" t="s">
        <v>156</v>
      </c>
      <c r="C45" s="1" t="s">
        <v>157</v>
      </c>
      <c r="D45" s="1" t="s">
        <v>158</v>
      </c>
      <c r="E45" s="8" t="s">
        <v>159</v>
      </c>
      <c r="F45" s="8" t="s">
        <v>525</v>
      </c>
      <c r="G45" s="1" t="s">
        <v>160</v>
      </c>
      <c r="H45" s="1" t="s">
        <v>161</v>
      </c>
      <c r="J45" s="2"/>
      <c r="K45" s="4"/>
    </row>
    <row r="46" spans="2:11" x14ac:dyDescent="0.45">
      <c r="C46" s="1"/>
      <c r="D46" s="1"/>
      <c r="E46" s="8"/>
      <c r="F46" s="8"/>
      <c r="G46" s="1"/>
      <c r="H46" s="1"/>
      <c r="J46" s="2"/>
      <c r="K46" s="4"/>
    </row>
    <row r="47" spans="2:11" x14ac:dyDescent="0.45">
      <c r="B47" t="s">
        <v>162</v>
      </c>
      <c r="C47" s="1"/>
      <c r="D47" s="1"/>
      <c r="E47" s="8"/>
      <c r="F47" s="8"/>
      <c r="G47" s="1"/>
      <c r="H47" s="1"/>
      <c r="J47" s="2"/>
      <c r="K47" s="4"/>
    </row>
    <row r="48" spans="2:11" x14ac:dyDescent="0.45">
      <c r="B48" t="s">
        <v>163</v>
      </c>
      <c r="C48" s="1"/>
      <c r="D48" s="1"/>
      <c r="E48" s="8"/>
      <c r="F48" s="8"/>
      <c r="G48" s="1"/>
      <c r="H48" s="1"/>
      <c r="J48" s="2"/>
      <c r="K48" s="4"/>
    </row>
    <row r="49" spans="2:11" x14ac:dyDescent="0.45">
      <c r="B49" t="s">
        <v>164</v>
      </c>
      <c r="C49" s="1" t="s">
        <v>165</v>
      </c>
      <c r="D49" s="1" t="s">
        <v>8</v>
      </c>
      <c r="E49" s="8" t="s">
        <v>9</v>
      </c>
      <c r="F49" s="8" t="s">
        <v>524</v>
      </c>
      <c r="G49" s="1" t="s">
        <v>166</v>
      </c>
      <c r="H49" s="1" t="s">
        <v>503</v>
      </c>
      <c r="J49" s="2"/>
      <c r="K49" s="4"/>
    </row>
    <row r="50" spans="2:11" x14ac:dyDescent="0.45">
      <c r="B50" t="s">
        <v>167</v>
      </c>
      <c r="C50" s="1" t="s">
        <v>168</v>
      </c>
      <c r="D50" s="1" t="s">
        <v>8</v>
      </c>
      <c r="E50" s="8" t="s">
        <v>9</v>
      </c>
      <c r="F50" s="8" t="s">
        <v>524</v>
      </c>
      <c r="G50" s="1" t="s">
        <v>169</v>
      </c>
      <c r="H50" s="1" t="s">
        <v>170</v>
      </c>
      <c r="J50" s="2"/>
      <c r="K50" s="4"/>
    </row>
    <row r="51" spans="2:11" x14ac:dyDescent="0.45">
      <c r="B51" t="s">
        <v>171</v>
      </c>
      <c r="C51" s="1" t="s">
        <v>172</v>
      </c>
      <c r="D51" s="1" t="s">
        <v>8</v>
      </c>
      <c r="E51" s="8" t="s">
        <v>9</v>
      </c>
      <c r="F51" s="8" t="s">
        <v>524</v>
      </c>
      <c r="G51" s="1" t="s">
        <v>173</v>
      </c>
      <c r="H51" s="1" t="s">
        <v>174</v>
      </c>
      <c r="J51" s="2"/>
      <c r="K51" s="4"/>
    </row>
    <row r="52" spans="2:11" x14ac:dyDescent="0.45">
      <c r="B52" t="s">
        <v>175</v>
      </c>
      <c r="C52" s="1" t="s">
        <v>176</v>
      </c>
      <c r="D52" s="1" t="s">
        <v>177</v>
      </c>
      <c r="E52" s="8" t="s">
        <v>9</v>
      </c>
      <c r="F52" s="8" t="s">
        <v>524</v>
      </c>
      <c r="G52" s="1" t="s">
        <v>178</v>
      </c>
      <c r="H52" s="1" t="s">
        <v>15</v>
      </c>
      <c r="J52" s="2"/>
      <c r="K52" s="4"/>
    </row>
    <row r="53" spans="2:11" x14ac:dyDescent="0.45">
      <c r="B53" t="s">
        <v>179</v>
      </c>
      <c r="C53" s="1" t="s">
        <v>180</v>
      </c>
      <c r="D53" s="1" t="s">
        <v>8</v>
      </c>
      <c r="E53" s="8" t="s">
        <v>9</v>
      </c>
      <c r="F53" s="8" t="s">
        <v>524</v>
      </c>
      <c r="G53" s="1" t="s">
        <v>181</v>
      </c>
      <c r="H53" s="1" t="s">
        <v>15</v>
      </c>
      <c r="J53" s="2"/>
      <c r="K53" s="4"/>
    </row>
    <row r="54" spans="2:11" x14ac:dyDescent="0.45">
      <c r="B54" t="s">
        <v>182</v>
      </c>
      <c r="C54" s="1" t="s">
        <v>183</v>
      </c>
      <c r="D54" s="1" t="s">
        <v>14</v>
      </c>
      <c r="E54" s="8" t="s">
        <v>9</v>
      </c>
      <c r="F54" s="8" t="s">
        <v>524</v>
      </c>
      <c r="G54" s="1" t="s">
        <v>184</v>
      </c>
      <c r="H54" s="1" t="s">
        <v>185</v>
      </c>
      <c r="J54" s="2"/>
      <c r="K54" s="4"/>
    </row>
    <row r="55" spans="2:11" x14ac:dyDescent="0.45">
      <c r="B55" t="s">
        <v>186</v>
      </c>
      <c r="C55" s="1" t="s">
        <v>187</v>
      </c>
      <c r="D55" s="1" t="s">
        <v>188</v>
      </c>
      <c r="E55" s="8" t="s">
        <v>9</v>
      </c>
      <c r="F55" s="8" t="s">
        <v>524</v>
      </c>
      <c r="G55" s="1" t="s">
        <v>189</v>
      </c>
      <c r="H55" s="1" t="s">
        <v>504</v>
      </c>
      <c r="J55" s="2"/>
      <c r="K55" s="4"/>
    </row>
    <row r="56" spans="2:11" x14ac:dyDescent="0.45">
      <c r="B56" t="s">
        <v>190</v>
      </c>
      <c r="C56" s="1" t="s">
        <v>191</v>
      </c>
      <c r="D56" s="1" t="s">
        <v>8</v>
      </c>
      <c r="E56" s="8" t="s">
        <v>9</v>
      </c>
      <c r="F56" s="8" t="s">
        <v>524</v>
      </c>
      <c r="G56" s="1" t="s">
        <v>192</v>
      </c>
      <c r="H56" s="1" t="s">
        <v>193</v>
      </c>
      <c r="J56" s="2"/>
      <c r="K56" s="4"/>
    </row>
    <row r="57" spans="2:11" x14ac:dyDescent="0.45">
      <c r="B57" t="s">
        <v>194</v>
      </c>
      <c r="C57" s="1" t="s">
        <v>195</v>
      </c>
      <c r="D57" s="1" t="s">
        <v>8</v>
      </c>
      <c r="E57" s="8" t="s">
        <v>9</v>
      </c>
      <c r="F57" s="8" t="s">
        <v>524</v>
      </c>
      <c r="G57" s="1" t="s">
        <v>196</v>
      </c>
      <c r="H57" s="1" t="s">
        <v>197</v>
      </c>
      <c r="J57" s="2"/>
      <c r="K57" s="4"/>
    </row>
    <row r="58" spans="2:11" x14ac:dyDescent="0.45">
      <c r="B58" t="s">
        <v>198</v>
      </c>
      <c r="C58" s="1"/>
      <c r="D58" s="1"/>
      <c r="E58" s="8"/>
      <c r="F58" s="8"/>
      <c r="G58" s="1"/>
      <c r="H58" s="1"/>
      <c r="J58" s="2"/>
      <c r="K58" s="4"/>
    </row>
    <row r="59" spans="2:11" x14ac:dyDescent="0.45">
      <c r="B59" t="s">
        <v>199</v>
      </c>
      <c r="C59" s="1" t="s">
        <v>200</v>
      </c>
      <c r="D59" s="1" t="s">
        <v>201</v>
      </c>
      <c r="E59" s="8" t="s">
        <v>9</v>
      </c>
      <c r="F59" s="8" t="s">
        <v>524</v>
      </c>
      <c r="G59" s="1" t="s">
        <v>202</v>
      </c>
      <c r="H59" s="1" t="s">
        <v>203</v>
      </c>
      <c r="J59" s="2"/>
      <c r="K59" s="4"/>
    </row>
    <row r="60" spans="2:11" x14ac:dyDescent="0.45">
      <c r="B60" t="s">
        <v>204</v>
      </c>
      <c r="C60" s="1" t="s">
        <v>205</v>
      </c>
      <c r="D60" s="1" t="s">
        <v>64</v>
      </c>
      <c r="E60" s="8" t="s">
        <v>9</v>
      </c>
      <c r="F60" s="8" t="s">
        <v>524</v>
      </c>
      <c r="G60" s="1" t="s">
        <v>206</v>
      </c>
      <c r="H60" s="1" t="s">
        <v>15</v>
      </c>
      <c r="J60" s="2"/>
      <c r="K60" s="4"/>
    </row>
    <row r="61" spans="2:11" x14ac:dyDescent="0.45">
      <c r="B61" t="s">
        <v>207</v>
      </c>
      <c r="C61" s="1" t="s">
        <v>208</v>
      </c>
      <c r="D61" s="1" t="s">
        <v>209</v>
      </c>
      <c r="E61" s="8" t="s">
        <v>9</v>
      </c>
      <c r="F61" s="8" t="s">
        <v>524</v>
      </c>
      <c r="G61" s="1" t="s">
        <v>206</v>
      </c>
      <c r="H61" s="1" t="s">
        <v>15</v>
      </c>
      <c r="J61" s="2"/>
      <c r="K61" s="4"/>
    </row>
    <row r="62" spans="2:11" x14ac:dyDescent="0.45">
      <c r="B62" t="s">
        <v>210</v>
      </c>
      <c r="C62" s="1" t="s">
        <v>211</v>
      </c>
      <c r="D62" s="1" t="s">
        <v>59</v>
      </c>
      <c r="E62" s="8" t="s">
        <v>79</v>
      </c>
      <c r="F62" s="8" t="s">
        <v>524</v>
      </c>
      <c r="G62" s="1" t="s">
        <v>206</v>
      </c>
      <c r="H62" s="1" t="s">
        <v>212</v>
      </c>
      <c r="J62" s="2"/>
      <c r="K62" s="4"/>
    </row>
    <row r="63" spans="2:11" x14ac:dyDescent="0.45">
      <c r="B63" t="s">
        <v>213</v>
      </c>
      <c r="C63" s="1" t="s">
        <v>214</v>
      </c>
      <c r="D63" s="1" t="s">
        <v>8</v>
      </c>
      <c r="E63" s="8" t="s">
        <v>9</v>
      </c>
      <c r="F63" s="8" t="s">
        <v>524</v>
      </c>
      <c r="G63" s="1" t="s">
        <v>206</v>
      </c>
      <c r="H63" s="1" t="s">
        <v>215</v>
      </c>
      <c r="J63" s="2"/>
      <c r="K63" s="4"/>
    </row>
    <row r="64" spans="2:11" x14ac:dyDescent="0.45">
      <c r="B64" t="s">
        <v>216</v>
      </c>
      <c r="C64" s="1"/>
      <c r="D64" s="1"/>
      <c r="E64" s="8"/>
      <c r="F64" s="8"/>
      <c r="G64" s="1"/>
      <c r="H64" s="1"/>
      <c r="J64" s="2"/>
      <c r="K64" s="4"/>
    </row>
    <row r="65" spans="2:11" x14ac:dyDescent="0.45">
      <c r="B65" t="s">
        <v>217</v>
      </c>
      <c r="C65" s="1" t="s">
        <v>218</v>
      </c>
      <c r="D65" s="1" t="s">
        <v>8</v>
      </c>
      <c r="E65" s="8" t="s">
        <v>9</v>
      </c>
      <c r="F65" s="8" t="s">
        <v>524</v>
      </c>
      <c r="G65" s="1" t="s">
        <v>219</v>
      </c>
      <c r="H65" s="1" t="s">
        <v>220</v>
      </c>
      <c r="J65" s="2"/>
      <c r="K65" s="4"/>
    </row>
    <row r="66" spans="2:11" x14ac:dyDescent="0.45">
      <c r="B66" t="s">
        <v>221</v>
      </c>
      <c r="C66" s="1" t="s">
        <v>222</v>
      </c>
      <c r="D66" s="1" t="s">
        <v>223</v>
      </c>
      <c r="E66" s="8" t="s">
        <v>9</v>
      </c>
      <c r="F66" s="8" t="s">
        <v>524</v>
      </c>
      <c r="G66" s="1" t="s">
        <v>224</v>
      </c>
      <c r="H66" s="1" t="s">
        <v>225</v>
      </c>
      <c r="J66" s="2"/>
      <c r="K66" s="4"/>
    </row>
    <row r="67" spans="2:11" x14ac:dyDescent="0.45">
      <c r="B67" t="s">
        <v>226</v>
      </c>
      <c r="C67" s="1" t="s">
        <v>227</v>
      </c>
      <c r="D67" s="1" t="s">
        <v>8</v>
      </c>
      <c r="E67" s="8" t="s">
        <v>9</v>
      </c>
      <c r="F67" s="8" t="s">
        <v>524</v>
      </c>
      <c r="G67" s="1" t="s">
        <v>228</v>
      </c>
      <c r="H67" s="1" t="s">
        <v>15</v>
      </c>
      <c r="J67" s="2"/>
      <c r="K67" s="4"/>
    </row>
    <row r="68" spans="2:11" x14ac:dyDescent="0.45">
      <c r="B68" t="s">
        <v>229</v>
      </c>
      <c r="C68" s="1" t="s">
        <v>230</v>
      </c>
      <c r="D68" s="1" t="s">
        <v>231</v>
      </c>
      <c r="E68" s="8" t="s">
        <v>9</v>
      </c>
      <c r="F68" s="8" t="s">
        <v>524</v>
      </c>
      <c r="G68" s="1" t="s">
        <v>232</v>
      </c>
      <c r="H68" s="1" t="s">
        <v>233</v>
      </c>
      <c r="J68" s="2"/>
      <c r="K68" s="4"/>
    </row>
    <row r="69" spans="2:11" x14ac:dyDescent="0.45">
      <c r="B69" t="s">
        <v>234</v>
      </c>
      <c r="C69" s="1"/>
      <c r="D69" s="1"/>
      <c r="E69" s="8"/>
      <c r="F69" s="8"/>
      <c r="G69" s="1"/>
      <c r="H69" s="1"/>
      <c r="J69" s="2"/>
      <c r="K69" s="4"/>
    </row>
    <row r="70" spans="2:11" x14ac:dyDescent="0.45">
      <c r="B70" t="s">
        <v>235</v>
      </c>
      <c r="C70" s="1" t="s">
        <v>236</v>
      </c>
      <c r="D70" s="1" t="s">
        <v>237</v>
      </c>
      <c r="E70" s="8" t="s">
        <v>9</v>
      </c>
      <c r="F70" s="8" t="s">
        <v>524</v>
      </c>
      <c r="G70" s="1" t="s">
        <v>238</v>
      </c>
      <c r="H70" s="1"/>
      <c r="J70" s="2"/>
      <c r="K70" s="4"/>
    </row>
    <row r="71" spans="2:11" x14ac:dyDescent="0.45">
      <c r="C71" s="1"/>
      <c r="D71" s="1"/>
      <c r="E71" s="8"/>
      <c r="F71" s="8"/>
      <c r="G71" s="1"/>
      <c r="H71" s="1"/>
      <c r="J71" s="2"/>
      <c r="K71" s="4"/>
    </row>
    <row r="72" spans="2:11" x14ac:dyDescent="0.45">
      <c r="B72" t="s">
        <v>239</v>
      </c>
      <c r="C72" s="1"/>
      <c r="D72" s="1"/>
      <c r="E72" s="8"/>
      <c r="F72" s="8"/>
      <c r="G72" s="1"/>
      <c r="H72" s="1"/>
      <c r="J72" s="2"/>
      <c r="K72" s="4"/>
    </row>
    <row r="73" spans="2:11" x14ac:dyDescent="0.45">
      <c r="B73" t="s">
        <v>240</v>
      </c>
      <c r="C73" s="1"/>
      <c r="D73" s="1"/>
      <c r="E73" s="8"/>
      <c r="F73" s="8"/>
      <c r="G73" s="1"/>
      <c r="H73" s="1"/>
      <c r="J73" s="2"/>
      <c r="K73" s="4"/>
    </row>
    <row r="74" spans="2:11" x14ac:dyDescent="0.45">
      <c r="B74" t="s">
        <v>241</v>
      </c>
      <c r="C74" s="1" t="s">
        <v>242</v>
      </c>
      <c r="D74" s="1" t="s">
        <v>243</v>
      </c>
      <c r="E74" s="8" t="s">
        <v>9</v>
      </c>
      <c r="F74" s="8"/>
      <c r="G74" s="1" t="s">
        <v>244</v>
      </c>
      <c r="H74" s="1" t="s">
        <v>245</v>
      </c>
      <c r="J74" s="2"/>
      <c r="K74" s="4"/>
    </row>
    <row r="75" spans="2:11" x14ac:dyDescent="0.45">
      <c r="B75" t="s">
        <v>246</v>
      </c>
      <c r="C75" s="1" t="s">
        <v>247</v>
      </c>
      <c r="D75" s="1" t="s">
        <v>248</v>
      </c>
      <c r="E75" s="8" t="s">
        <v>9</v>
      </c>
      <c r="F75" s="8"/>
      <c r="G75" s="1" t="s">
        <v>249</v>
      </c>
      <c r="H75" s="1" t="s">
        <v>505</v>
      </c>
      <c r="J75" s="2"/>
      <c r="K75" s="4"/>
    </row>
    <row r="76" spans="2:11" x14ac:dyDescent="0.45">
      <c r="B76" t="s">
        <v>250</v>
      </c>
      <c r="C76" s="1" t="s">
        <v>251</v>
      </c>
      <c r="D76" s="1" t="s">
        <v>248</v>
      </c>
      <c r="E76" s="8" t="s">
        <v>9</v>
      </c>
      <c r="F76" s="8"/>
      <c r="G76" s="1" t="s">
        <v>252</v>
      </c>
      <c r="H76" s="1" t="s">
        <v>15</v>
      </c>
      <c r="J76" s="2"/>
      <c r="K76" s="4"/>
    </row>
    <row r="77" spans="2:11" x14ac:dyDescent="0.45">
      <c r="B77" t="s">
        <v>253</v>
      </c>
      <c r="C77" s="1" t="s">
        <v>254</v>
      </c>
      <c r="D77" s="1" t="s">
        <v>248</v>
      </c>
      <c r="E77" s="8" t="s">
        <v>255</v>
      </c>
      <c r="F77" s="8"/>
      <c r="G77" s="1" t="s">
        <v>252</v>
      </c>
      <c r="H77" s="1" t="s">
        <v>256</v>
      </c>
      <c r="J77" s="2"/>
      <c r="K77" s="4"/>
    </row>
    <row r="78" spans="2:11" x14ac:dyDescent="0.45">
      <c r="B78" t="s">
        <v>257</v>
      </c>
      <c r="C78" s="1" t="s">
        <v>258</v>
      </c>
      <c r="D78" s="1" t="s">
        <v>248</v>
      </c>
      <c r="E78" s="8" t="s">
        <v>9</v>
      </c>
      <c r="F78" s="8"/>
      <c r="G78" s="1" t="s">
        <v>252</v>
      </c>
      <c r="H78" s="1" t="s">
        <v>259</v>
      </c>
      <c r="J78" s="2"/>
      <c r="K78" s="4"/>
    </row>
    <row r="79" spans="2:11" x14ac:dyDescent="0.45">
      <c r="B79" t="s">
        <v>260</v>
      </c>
      <c r="C79" s="1" t="s">
        <v>261</v>
      </c>
      <c r="D79" s="1" t="s">
        <v>248</v>
      </c>
      <c r="E79" s="8" t="s">
        <v>9</v>
      </c>
      <c r="F79" s="8"/>
      <c r="G79" s="1" t="s">
        <v>252</v>
      </c>
      <c r="H79" s="1" t="s">
        <v>15</v>
      </c>
      <c r="J79" s="2"/>
      <c r="K79" s="4"/>
    </row>
    <row r="80" spans="2:11" x14ac:dyDescent="0.45">
      <c r="B80" t="s">
        <v>262</v>
      </c>
      <c r="C80" s="1" t="s">
        <v>263</v>
      </c>
      <c r="D80" s="1" t="s">
        <v>248</v>
      </c>
      <c r="E80" s="8" t="s">
        <v>9</v>
      </c>
      <c r="F80" s="8"/>
      <c r="G80" s="1" t="s">
        <v>252</v>
      </c>
      <c r="H80" s="1" t="s">
        <v>264</v>
      </c>
      <c r="J80" s="2"/>
      <c r="K80" s="4"/>
    </row>
    <row r="81" spans="2:11" x14ac:dyDescent="0.45">
      <c r="B81" t="s">
        <v>265</v>
      </c>
      <c r="C81" s="1" t="s">
        <v>266</v>
      </c>
      <c r="D81" s="1" t="s">
        <v>248</v>
      </c>
      <c r="E81" s="8" t="s">
        <v>9</v>
      </c>
      <c r="F81" s="8"/>
      <c r="G81" s="1" t="s">
        <v>252</v>
      </c>
      <c r="H81" s="1" t="s">
        <v>267</v>
      </c>
      <c r="J81" s="2"/>
      <c r="K81" s="4"/>
    </row>
    <row r="82" spans="2:11" x14ac:dyDescent="0.45">
      <c r="B82" t="s">
        <v>268</v>
      </c>
      <c r="C82" s="1" t="s">
        <v>269</v>
      </c>
      <c r="D82" s="1" t="s">
        <v>270</v>
      </c>
      <c r="E82" s="8" t="s">
        <v>9</v>
      </c>
      <c r="F82" s="8"/>
      <c r="G82" s="1" t="s">
        <v>271</v>
      </c>
      <c r="H82" s="1" t="s">
        <v>272</v>
      </c>
      <c r="J82" s="2"/>
      <c r="K82" s="4"/>
    </row>
    <row r="83" spans="2:11" x14ac:dyDescent="0.45">
      <c r="B83" t="s">
        <v>273</v>
      </c>
      <c r="C83" s="1" t="s">
        <v>274</v>
      </c>
      <c r="D83" s="1" t="s">
        <v>248</v>
      </c>
      <c r="E83" s="8" t="s">
        <v>9</v>
      </c>
      <c r="F83" s="8"/>
      <c r="G83" s="1" t="s">
        <v>252</v>
      </c>
      <c r="H83" s="1" t="s">
        <v>275</v>
      </c>
      <c r="J83" s="2"/>
      <c r="K83" s="4"/>
    </row>
    <row r="84" spans="2:11" x14ac:dyDescent="0.45">
      <c r="B84" t="s">
        <v>276</v>
      </c>
      <c r="C84" s="1" t="s">
        <v>277</v>
      </c>
      <c r="D84" s="1" t="s">
        <v>248</v>
      </c>
      <c r="E84" s="8" t="s">
        <v>9</v>
      </c>
      <c r="F84" s="8"/>
      <c r="G84" s="1" t="s">
        <v>278</v>
      </c>
      <c r="H84" s="1" t="s">
        <v>506</v>
      </c>
      <c r="J84" s="2"/>
      <c r="K84" s="4"/>
    </row>
    <row r="85" spans="2:11" x14ac:dyDescent="0.45">
      <c r="B85" t="s">
        <v>279</v>
      </c>
      <c r="C85" s="1" t="s">
        <v>280</v>
      </c>
      <c r="D85" s="1" t="s">
        <v>248</v>
      </c>
      <c r="E85" s="8" t="s">
        <v>9</v>
      </c>
      <c r="F85" s="8"/>
      <c r="G85" s="1" t="s">
        <v>278</v>
      </c>
      <c r="H85" s="1" t="s">
        <v>281</v>
      </c>
      <c r="J85" s="2"/>
      <c r="K85" s="4"/>
    </row>
    <row r="86" spans="2:11" x14ac:dyDescent="0.45">
      <c r="B86" t="s">
        <v>282</v>
      </c>
      <c r="C86" s="1" t="s">
        <v>283</v>
      </c>
      <c r="D86" s="1" t="s">
        <v>248</v>
      </c>
      <c r="E86" s="8" t="s">
        <v>9</v>
      </c>
      <c r="F86" s="8"/>
      <c r="G86" s="1" t="s">
        <v>278</v>
      </c>
      <c r="H86" s="1" t="s">
        <v>284</v>
      </c>
      <c r="J86" s="2"/>
      <c r="K86" s="4"/>
    </row>
    <row r="87" spans="2:11" x14ac:dyDescent="0.45">
      <c r="B87" t="s">
        <v>285</v>
      </c>
      <c r="C87" s="1" t="s">
        <v>286</v>
      </c>
      <c r="D87" s="1" t="s">
        <v>248</v>
      </c>
      <c r="E87" s="8" t="s">
        <v>9</v>
      </c>
      <c r="F87" s="8"/>
      <c r="G87" s="1" t="s">
        <v>278</v>
      </c>
      <c r="H87" s="1" t="s">
        <v>287</v>
      </c>
      <c r="J87" s="2"/>
      <c r="K87" s="4"/>
    </row>
    <row r="88" spans="2:11" x14ac:dyDescent="0.45">
      <c r="B88" t="s">
        <v>288</v>
      </c>
      <c r="C88" s="1" t="s">
        <v>289</v>
      </c>
      <c r="D88" s="1" t="s">
        <v>248</v>
      </c>
      <c r="E88" s="8" t="s">
        <v>290</v>
      </c>
      <c r="F88" s="8"/>
      <c r="G88" s="1" t="s">
        <v>278</v>
      </c>
      <c r="H88" s="1" t="s">
        <v>15</v>
      </c>
      <c r="J88" s="2"/>
      <c r="K88" s="4"/>
    </row>
    <row r="89" spans="2:11" x14ac:dyDescent="0.45">
      <c r="B89" t="s">
        <v>291</v>
      </c>
      <c r="C89" s="1" t="s">
        <v>292</v>
      </c>
      <c r="D89" s="1" t="s">
        <v>248</v>
      </c>
      <c r="E89" s="8" t="s">
        <v>9</v>
      </c>
      <c r="F89" s="8"/>
      <c r="G89" s="1" t="s">
        <v>293</v>
      </c>
      <c r="H89" s="1" t="s">
        <v>294</v>
      </c>
      <c r="J89" s="2"/>
      <c r="K89" s="4"/>
    </row>
    <row r="90" spans="2:11" x14ac:dyDescent="0.45">
      <c r="B90" t="s">
        <v>295</v>
      </c>
      <c r="C90" s="1" t="s">
        <v>296</v>
      </c>
      <c r="D90" s="1" t="s">
        <v>248</v>
      </c>
      <c r="E90" s="8" t="s">
        <v>9</v>
      </c>
      <c r="F90" s="8"/>
      <c r="G90" s="1" t="s">
        <v>297</v>
      </c>
      <c r="H90" s="1" t="s">
        <v>298</v>
      </c>
      <c r="J90" s="2"/>
      <c r="K90" s="4"/>
    </row>
    <row r="91" spans="2:11" x14ac:dyDescent="0.45">
      <c r="B91" t="s">
        <v>299</v>
      </c>
      <c r="C91" s="1"/>
      <c r="D91" s="1"/>
      <c r="E91" s="8"/>
      <c r="F91" s="8"/>
      <c r="G91" s="1"/>
      <c r="H91" s="1"/>
      <c r="J91" s="2"/>
      <c r="K91" s="4"/>
    </row>
    <row r="92" spans="2:11" x14ac:dyDescent="0.45">
      <c r="B92" t="s">
        <v>300</v>
      </c>
      <c r="C92" s="1" t="s">
        <v>301</v>
      </c>
      <c r="D92" s="1" t="s">
        <v>302</v>
      </c>
      <c r="E92" s="8" t="s">
        <v>303</v>
      </c>
      <c r="F92" s="8"/>
      <c r="G92" s="1" t="s">
        <v>304</v>
      </c>
      <c r="H92" s="1"/>
      <c r="J92" s="2"/>
      <c r="K92" s="4"/>
    </row>
    <row r="93" spans="2:11" x14ac:dyDescent="0.45">
      <c r="B93" t="s">
        <v>305</v>
      </c>
      <c r="C93" s="1" t="s">
        <v>306</v>
      </c>
      <c r="D93" s="1" t="s">
        <v>307</v>
      </c>
      <c r="E93" s="8" t="s">
        <v>308</v>
      </c>
      <c r="F93" s="8"/>
      <c r="G93" s="1" t="s">
        <v>15</v>
      </c>
      <c r="H93" s="1"/>
      <c r="J93" s="2"/>
      <c r="K93" s="4"/>
    </row>
    <row r="94" spans="2:11" x14ac:dyDescent="0.45">
      <c r="B94" t="s">
        <v>309</v>
      </c>
      <c r="C94" s="1" t="s">
        <v>310</v>
      </c>
      <c r="D94" s="1" t="s">
        <v>311</v>
      </c>
      <c r="E94" s="8" t="s">
        <v>312</v>
      </c>
      <c r="F94" s="8"/>
      <c r="G94" s="1" t="s">
        <v>313</v>
      </c>
      <c r="H94" s="1"/>
      <c r="J94" s="2"/>
      <c r="K94" s="4"/>
    </row>
    <row r="95" spans="2:11" x14ac:dyDescent="0.45">
      <c r="B95" t="s">
        <v>314</v>
      </c>
      <c r="C95" s="1" t="s">
        <v>315</v>
      </c>
      <c r="D95" s="1" t="s">
        <v>316</v>
      </c>
      <c r="E95" s="8" t="s">
        <v>317</v>
      </c>
      <c r="F95" s="8"/>
      <c r="G95" s="1" t="s">
        <v>318</v>
      </c>
      <c r="H95" s="1"/>
      <c r="J95" s="2"/>
      <c r="K95" s="4"/>
    </row>
    <row r="96" spans="2:11" x14ac:dyDescent="0.45">
      <c r="B96" t="s">
        <v>319</v>
      </c>
      <c r="C96" s="1" t="s">
        <v>320</v>
      </c>
      <c r="D96" s="1" t="s">
        <v>321</v>
      </c>
      <c r="E96" s="8" t="s">
        <v>322</v>
      </c>
      <c r="F96" s="8"/>
      <c r="G96" s="1" t="s">
        <v>507</v>
      </c>
      <c r="H96" s="1"/>
      <c r="J96" s="2"/>
      <c r="K96" s="4"/>
    </row>
    <row r="97" spans="2:11" x14ac:dyDescent="0.45">
      <c r="B97" t="s">
        <v>323</v>
      </c>
      <c r="C97" s="1" t="s">
        <v>324</v>
      </c>
      <c r="D97" s="1" t="s">
        <v>325</v>
      </c>
      <c r="E97" s="8" t="s">
        <v>326</v>
      </c>
      <c r="F97" s="8"/>
      <c r="G97" s="1" t="s">
        <v>327</v>
      </c>
      <c r="H97" s="1"/>
      <c r="J97" s="2"/>
      <c r="K97" s="4"/>
    </row>
    <row r="98" spans="2:11" x14ac:dyDescent="0.45">
      <c r="B98" t="s">
        <v>328</v>
      </c>
      <c r="C98" s="1" t="s">
        <v>329</v>
      </c>
      <c r="D98" s="1" t="s">
        <v>330</v>
      </c>
      <c r="E98" s="8" t="s">
        <v>331</v>
      </c>
      <c r="F98" s="8"/>
      <c r="G98" s="1" t="s">
        <v>332</v>
      </c>
      <c r="H98" s="1"/>
      <c r="J98" s="2"/>
      <c r="K98" s="4"/>
    </row>
    <row r="99" spans="2:11" x14ac:dyDescent="0.45">
      <c r="B99" t="s">
        <v>333</v>
      </c>
      <c r="C99" s="1" t="s">
        <v>334</v>
      </c>
      <c r="D99" s="1" t="s">
        <v>335</v>
      </c>
      <c r="E99" s="8" t="s">
        <v>336</v>
      </c>
      <c r="F99" s="8"/>
      <c r="G99" s="1" t="s">
        <v>15</v>
      </c>
      <c r="H99" s="1"/>
      <c r="J99" s="2"/>
      <c r="K99" s="4"/>
    </row>
    <row r="100" spans="2:11" x14ac:dyDescent="0.45">
      <c r="B100" t="s">
        <v>337</v>
      </c>
      <c r="C100" s="1" t="s">
        <v>338</v>
      </c>
      <c r="D100" s="1" t="s">
        <v>339</v>
      </c>
      <c r="E100" s="8" t="s">
        <v>340</v>
      </c>
      <c r="F100" s="8"/>
      <c r="G100" s="1" t="s">
        <v>508</v>
      </c>
      <c r="H100" s="1"/>
      <c r="J100" s="2"/>
      <c r="K100" s="4"/>
    </row>
    <row r="101" spans="2:11" x14ac:dyDescent="0.45">
      <c r="B101" t="s">
        <v>341</v>
      </c>
      <c r="C101" s="1" t="s">
        <v>342</v>
      </c>
      <c r="D101" s="1" t="s">
        <v>343</v>
      </c>
      <c r="E101" s="8" t="s">
        <v>344</v>
      </c>
      <c r="F101" s="8"/>
      <c r="G101" s="1" t="s">
        <v>345</v>
      </c>
      <c r="H101" s="1"/>
      <c r="J101" s="2"/>
      <c r="K101" s="4"/>
    </row>
    <row r="102" spans="2:11" x14ac:dyDescent="0.45">
      <c r="B102" t="s">
        <v>346</v>
      </c>
      <c r="C102" s="1" t="s">
        <v>347</v>
      </c>
      <c r="D102" s="1" t="s">
        <v>348</v>
      </c>
      <c r="E102" s="8" t="s">
        <v>349</v>
      </c>
      <c r="F102" s="8"/>
      <c r="G102" s="1" t="s">
        <v>350</v>
      </c>
      <c r="H102" s="1"/>
      <c r="J102" s="2"/>
      <c r="K102" s="4"/>
    </row>
    <row r="103" spans="2:11" x14ac:dyDescent="0.45">
      <c r="B103" t="s">
        <v>351</v>
      </c>
      <c r="C103" s="1" t="s">
        <v>352</v>
      </c>
      <c r="D103" s="1" t="s">
        <v>353</v>
      </c>
      <c r="E103" s="8" t="s">
        <v>354</v>
      </c>
      <c r="F103" s="8"/>
      <c r="G103" s="1" t="s">
        <v>355</v>
      </c>
      <c r="H103" s="1"/>
      <c r="J103" s="2"/>
      <c r="K103" s="4"/>
    </row>
    <row r="104" spans="2:11" x14ac:dyDescent="0.45">
      <c r="B104" t="s">
        <v>356</v>
      </c>
      <c r="C104" s="1" t="s">
        <v>357</v>
      </c>
      <c r="D104" s="1" t="s">
        <v>358</v>
      </c>
      <c r="E104" s="8" t="s">
        <v>359</v>
      </c>
      <c r="F104" s="8"/>
      <c r="G104" s="1" t="s">
        <v>360</v>
      </c>
      <c r="H104" s="1"/>
      <c r="J104" s="2"/>
      <c r="K104" s="4"/>
    </row>
    <row r="105" spans="2:11" x14ac:dyDescent="0.45">
      <c r="B105" t="s">
        <v>361</v>
      </c>
      <c r="C105" s="1" t="s">
        <v>362</v>
      </c>
      <c r="D105" s="1" t="s">
        <v>363</v>
      </c>
      <c r="E105" s="8" t="s">
        <v>364</v>
      </c>
      <c r="F105" s="8"/>
      <c r="G105" s="1" t="s">
        <v>365</v>
      </c>
      <c r="H105" s="1"/>
      <c r="J105" s="2"/>
      <c r="K105" s="4"/>
    </row>
    <row r="106" spans="2:11" x14ac:dyDescent="0.45">
      <c r="B106" t="s">
        <v>366</v>
      </c>
      <c r="C106" s="1" t="s">
        <v>367</v>
      </c>
      <c r="D106" s="1" t="s">
        <v>368</v>
      </c>
      <c r="E106" s="8" t="s">
        <v>369</v>
      </c>
      <c r="F106" s="8"/>
      <c r="G106" s="1" t="s">
        <v>370</v>
      </c>
      <c r="H106" s="1"/>
      <c r="J106" s="2"/>
      <c r="K106" s="4"/>
    </row>
    <row r="107" spans="2:11" x14ac:dyDescent="0.45">
      <c r="C107" s="1"/>
      <c r="D107" s="1"/>
      <c r="E107" s="8"/>
      <c r="F107" s="8"/>
      <c r="G107" s="1"/>
      <c r="H107" s="1"/>
      <c r="J107" s="2"/>
      <c r="K107" s="4"/>
    </row>
    <row r="108" spans="2:11" x14ac:dyDescent="0.45">
      <c r="B108" t="s">
        <v>371</v>
      </c>
      <c r="C108" s="1"/>
      <c r="D108" s="1"/>
      <c r="E108" s="8"/>
      <c r="F108" s="8"/>
      <c r="G108" s="1"/>
      <c r="H108" s="1"/>
      <c r="J108" s="2"/>
      <c r="K108" s="4"/>
    </row>
    <row r="109" spans="2:11" x14ac:dyDescent="0.45">
      <c r="B109" t="s">
        <v>372</v>
      </c>
      <c r="C109" s="1"/>
      <c r="D109" s="1"/>
      <c r="E109" s="8"/>
      <c r="F109" s="8"/>
      <c r="G109" s="1"/>
      <c r="H109" s="1"/>
      <c r="J109" s="2"/>
      <c r="K109" s="4"/>
    </row>
    <row r="110" spans="2:11" x14ac:dyDescent="0.45">
      <c r="B110" t="s">
        <v>373</v>
      </c>
      <c r="C110" s="1" t="s">
        <v>374</v>
      </c>
      <c r="D110" s="1" t="s">
        <v>375</v>
      </c>
      <c r="E110" s="8" t="s">
        <v>9</v>
      </c>
      <c r="F110" s="8"/>
      <c r="G110" s="1" t="s">
        <v>376</v>
      </c>
      <c r="H110" s="1"/>
      <c r="J110" s="2"/>
      <c r="K110" s="4"/>
    </row>
    <row r="111" spans="2:11" x14ac:dyDescent="0.45">
      <c r="B111" t="s">
        <v>377</v>
      </c>
      <c r="C111" s="1" t="s">
        <v>378</v>
      </c>
      <c r="D111" s="1" t="s">
        <v>248</v>
      </c>
      <c r="E111" s="8" t="s">
        <v>9</v>
      </c>
      <c r="F111" s="8"/>
      <c r="G111" s="1" t="s">
        <v>376</v>
      </c>
      <c r="H111" s="1"/>
      <c r="J111" s="2"/>
      <c r="K111" s="4"/>
    </row>
    <row r="112" spans="2:11" x14ac:dyDescent="0.45">
      <c r="B112" t="s">
        <v>379</v>
      </c>
      <c r="C112" s="1" t="s">
        <v>380</v>
      </c>
      <c r="D112" s="1" t="s">
        <v>248</v>
      </c>
      <c r="E112" s="8" t="s">
        <v>9</v>
      </c>
      <c r="F112" s="8"/>
      <c r="G112" s="1" t="s">
        <v>381</v>
      </c>
      <c r="H112" s="1"/>
      <c r="J112" s="2"/>
      <c r="K112" s="4"/>
    </row>
    <row r="113" spans="2:11" x14ac:dyDescent="0.45">
      <c r="B113" t="s">
        <v>382</v>
      </c>
      <c r="C113" s="1" t="s">
        <v>383</v>
      </c>
      <c r="D113" s="1" t="s">
        <v>59</v>
      </c>
      <c r="E113" s="8" t="s">
        <v>9</v>
      </c>
      <c r="F113" s="8"/>
      <c r="G113" s="1" t="s">
        <v>376</v>
      </c>
      <c r="H113" s="1"/>
      <c r="J113" s="2"/>
      <c r="K113" s="4"/>
    </row>
    <row r="114" spans="2:11" x14ac:dyDescent="0.45">
      <c r="B114" t="s">
        <v>384</v>
      </c>
      <c r="C114" s="1" t="s">
        <v>385</v>
      </c>
      <c r="D114" s="1" t="s">
        <v>18</v>
      </c>
      <c r="E114" s="8" t="s">
        <v>9</v>
      </c>
      <c r="F114" s="8"/>
      <c r="G114" s="1" t="s">
        <v>376</v>
      </c>
      <c r="H114" s="1"/>
      <c r="J114" s="2"/>
      <c r="K114" s="4"/>
    </row>
    <row r="115" spans="2:11" x14ac:dyDescent="0.45">
      <c r="B115" t="s">
        <v>386</v>
      </c>
      <c r="C115" s="1" t="s">
        <v>387</v>
      </c>
      <c r="D115" s="1" t="s">
        <v>18</v>
      </c>
      <c r="E115" s="8" t="s">
        <v>9</v>
      </c>
      <c r="F115" s="8"/>
      <c r="G115" s="1" t="s">
        <v>376</v>
      </c>
      <c r="H115" s="1"/>
      <c r="J115" s="2"/>
      <c r="K115" s="4"/>
    </row>
    <row r="116" spans="2:11" x14ac:dyDescent="0.45">
      <c r="B116" t="s">
        <v>388</v>
      </c>
      <c r="C116" s="1" t="s">
        <v>72</v>
      </c>
      <c r="D116" s="1" t="s">
        <v>389</v>
      </c>
      <c r="E116" s="8" t="s">
        <v>9</v>
      </c>
      <c r="F116" s="8"/>
      <c r="G116" s="1" t="s">
        <v>376</v>
      </c>
      <c r="H116" s="1"/>
      <c r="J116" s="2"/>
      <c r="K116" s="4"/>
    </row>
    <row r="117" spans="2:11" x14ac:dyDescent="0.45">
      <c r="B117" t="s">
        <v>390</v>
      </c>
      <c r="C117" s="1" t="s">
        <v>391</v>
      </c>
      <c r="D117" s="1" t="s">
        <v>392</v>
      </c>
      <c r="E117" s="8" t="s">
        <v>9</v>
      </c>
      <c r="F117" s="8"/>
      <c r="G117" s="1" t="s">
        <v>376</v>
      </c>
      <c r="H117" s="1"/>
      <c r="J117" s="2"/>
      <c r="K117" s="4"/>
    </row>
    <row r="118" spans="2:11" x14ac:dyDescent="0.45">
      <c r="B118" t="s">
        <v>393</v>
      </c>
      <c r="C118" s="1" t="s">
        <v>394</v>
      </c>
      <c r="D118" s="1" t="s">
        <v>395</v>
      </c>
      <c r="E118" s="8" t="s">
        <v>396</v>
      </c>
      <c r="F118" s="8"/>
      <c r="G118" s="1" t="s">
        <v>397</v>
      </c>
      <c r="H118" s="1"/>
      <c r="J118" s="2"/>
      <c r="K118" s="4"/>
    </row>
    <row r="119" spans="2:11" x14ac:dyDescent="0.45">
      <c r="B119" t="s">
        <v>398</v>
      </c>
      <c r="C119" s="1"/>
      <c r="D119" s="1"/>
      <c r="E119" s="8"/>
      <c r="F119" s="8"/>
      <c r="G119" s="1"/>
      <c r="H119" s="1"/>
      <c r="J119" s="2"/>
      <c r="K119" s="4"/>
    </row>
    <row r="120" spans="2:11" x14ac:dyDescent="0.45">
      <c r="B120" t="s">
        <v>399</v>
      </c>
      <c r="C120" s="1" t="s">
        <v>400</v>
      </c>
      <c r="D120" s="1" t="s">
        <v>8</v>
      </c>
      <c r="E120" s="8" t="s">
        <v>9</v>
      </c>
      <c r="F120" s="8"/>
      <c r="G120" s="1" t="s">
        <v>401</v>
      </c>
      <c r="H120" s="1" t="s">
        <v>15</v>
      </c>
      <c r="J120" s="2"/>
      <c r="K120" s="4"/>
    </row>
    <row r="121" spans="2:11" x14ac:dyDescent="0.45">
      <c r="B121" t="s">
        <v>402</v>
      </c>
      <c r="C121" s="1" t="s">
        <v>403</v>
      </c>
      <c r="D121" s="1" t="s">
        <v>8</v>
      </c>
      <c r="E121" s="8" t="s">
        <v>9</v>
      </c>
      <c r="F121" s="8"/>
      <c r="G121" s="1" t="s">
        <v>404</v>
      </c>
      <c r="H121" s="1" t="s">
        <v>405</v>
      </c>
      <c r="J121" s="2"/>
      <c r="K121" s="4"/>
    </row>
    <row r="122" spans="2:11" x14ac:dyDescent="0.45">
      <c r="B122" t="s">
        <v>406</v>
      </c>
      <c r="C122" s="1" t="s">
        <v>407</v>
      </c>
      <c r="D122" s="1" t="s">
        <v>64</v>
      </c>
      <c r="E122" s="8" t="s">
        <v>9</v>
      </c>
      <c r="F122" s="8"/>
      <c r="G122" s="1" t="s">
        <v>408</v>
      </c>
      <c r="H122" s="1" t="s">
        <v>15</v>
      </c>
      <c r="J122" s="2"/>
      <c r="K122" s="4"/>
    </row>
    <row r="123" spans="2:11" x14ac:dyDescent="0.45">
      <c r="B123" t="s">
        <v>409</v>
      </c>
      <c r="C123" s="1" t="s">
        <v>410</v>
      </c>
      <c r="D123" s="1" t="s">
        <v>59</v>
      </c>
      <c r="E123" s="8" t="s">
        <v>9</v>
      </c>
      <c r="F123" s="8"/>
      <c r="G123" s="1" t="s">
        <v>408</v>
      </c>
      <c r="H123" s="1" t="s">
        <v>411</v>
      </c>
      <c r="J123" s="2"/>
      <c r="K123" s="4"/>
    </row>
    <row r="124" spans="2:11" x14ac:dyDescent="0.45">
      <c r="B124" t="s">
        <v>412</v>
      </c>
      <c r="C124" s="1" t="s">
        <v>413</v>
      </c>
      <c r="D124" s="1" t="s">
        <v>64</v>
      </c>
      <c r="E124" s="8" t="s">
        <v>9</v>
      </c>
      <c r="F124" s="8"/>
      <c r="G124" s="1" t="s">
        <v>408</v>
      </c>
      <c r="H124" s="1" t="s">
        <v>414</v>
      </c>
      <c r="J124" s="2"/>
      <c r="K124" s="4"/>
    </row>
    <row r="125" spans="2:11" x14ac:dyDescent="0.45">
      <c r="B125" t="s">
        <v>415</v>
      </c>
      <c r="C125" s="1" t="s">
        <v>72</v>
      </c>
      <c r="D125" s="1" t="s">
        <v>416</v>
      </c>
      <c r="E125" s="8" t="s">
        <v>9</v>
      </c>
      <c r="F125" s="8"/>
      <c r="G125" s="1" t="s">
        <v>408</v>
      </c>
      <c r="H125" s="1" t="s">
        <v>75</v>
      </c>
      <c r="J125" s="2"/>
      <c r="K125" s="4"/>
    </row>
    <row r="126" spans="2:11" x14ac:dyDescent="0.45">
      <c r="B126" t="s">
        <v>417</v>
      </c>
      <c r="C126" s="1" t="s">
        <v>418</v>
      </c>
      <c r="D126" s="1" t="s">
        <v>419</v>
      </c>
      <c r="E126" s="8" t="s">
        <v>420</v>
      </c>
      <c r="F126" s="8"/>
      <c r="G126" s="1" t="s">
        <v>421</v>
      </c>
      <c r="H126" s="1" t="s">
        <v>422</v>
      </c>
      <c r="J126" s="2"/>
      <c r="K126" s="4"/>
    </row>
    <row r="127" spans="2:11" x14ac:dyDescent="0.45">
      <c r="B127" t="s">
        <v>423</v>
      </c>
      <c r="C127" s="1" t="s">
        <v>424</v>
      </c>
      <c r="D127" s="1" t="s">
        <v>419</v>
      </c>
      <c r="E127" s="8" t="s">
        <v>9</v>
      </c>
      <c r="F127" s="8"/>
      <c r="G127" s="1" t="s">
        <v>425</v>
      </c>
      <c r="H127" s="1" t="s">
        <v>426</v>
      </c>
      <c r="J127" s="2"/>
      <c r="K127" s="4"/>
    </row>
    <row r="128" spans="2:11" x14ac:dyDescent="0.45">
      <c r="B128" t="s">
        <v>427</v>
      </c>
      <c r="C128" s="1" t="s">
        <v>428</v>
      </c>
      <c r="D128" s="1" t="s">
        <v>419</v>
      </c>
      <c r="E128" s="8" t="s">
        <v>9</v>
      </c>
      <c r="F128" s="8"/>
      <c r="G128" s="1" t="s">
        <v>429</v>
      </c>
      <c r="H128" s="1" t="s">
        <v>430</v>
      </c>
      <c r="J128" s="2"/>
      <c r="K128" s="4"/>
    </row>
    <row r="129" spans="2:11" x14ac:dyDescent="0.45">
      <c r="B129" t="s">
        <v>431</v>
      </c>
      <c r="C129" s="1" t="s">
        <v>432</v>
      </c>
      <c r="D129" s="1" t="s">
        <v>419</v>
      </c>
      <c r="E129" s="8" t="s">
        <v>9</v>
      </c>
      <c r="F129" s="8"/>
      <c r="G129" s="1" t="s">
        <v>429</v>
      </c>
      <c r="H129" s="1" t="s">
        <v>433</v>
      </c>
      <c r="J129" s="2"/>
      <c r="K129" s="4"/>
    </row>
    <row r="130" spans="2:11" x14ac:dyDescent="0.45">
      <c r="B130" t="s">
        <v>434</v>
      </c>
      <c r="C130" s="1" t="s">
        <v>435</v>
      </c>
      <c r="D130" s="1" t="s">
        <v>436</v>
      </c>
      <c r="E130" s="8" t="s">
        <v>437</v>
      </c>
      <c r="F130" s="8"/>
      <c r="G130" s="1" t="s">
        <v>429</v>
      </c>
      <c r="H130" s="1" t="s">
        <v>438</v>
      </c>
      <c r="J130" s="2"/>
      <c r="K130" s="4"/>
    </row>
    <row r="131" spans="2:11" x14ac:dyDescent="0.45">
      <c r="B131" t="s">
        <v>439</v>
      </c>
      <c r="C131" s="1" t="s">
        <v>440</v>
      </c>
      <c r="D131" s="1" t="s">
        <v>419</v>
      </c>
      <c r="E131" s="8" t="s">
        <v>441</v>
      </c>
      <c r="F131" s="8"/>
      <c r="G131" s="1" t="s">
        <v>442</v>
      </c>
      <c r="H131" s="1" t="s">
        <v>443</v>
      </c>
      <c r="J131" s="2"/>
      <c r="K131" s="4"/>
    </row>
    <row r="132" spans="2:11" x14ac:dyDescent="0.45">
      <c r="B132" t="s">
        <v>444</v>
      </c>
      <c r="C132" s="1" t="s">
        <v>445</v>
      </c>
      <c r="D132" s="1" t="s">
        <v>59</v>
      </c>
      <c r="E132" s="8" t="s">
        <v>446</v>
      </c>
      <c r="F132" s="8"/>
      <c r="G132" s="1" t="s">
        <v>442</v>
      </c>
      <c r="H132" s="1" t="s">
        <v>509</v>
      </c>
      <c r="J132" s="2"/>
      <c r="K132" s="4"/>
    </row>
    <row r="133" spans="2:11" x14ac:dyDescent="0.45">
      <c r="B133" t="s">
        <v>447</v>
      </c>
      <c r="C133" s="1" t="s">
        <v>448</v>
      </c>
      <c r="D133" s="1" t="s">
        <v>419</v>
      </c>
      <c r="E133" s="8" t="s">
        <v>9</v>
      </c>
      <c r="F133" s="8"/>
      <c r="G133" s="1" t="s">
        <v>449</v>
      </c>
      <c r="H133" s="1" t="s">
        <v>510</v>
      </c>
      <c r="J133" s="2"/>
      <c r="K133" s="4"/>
    </row>
    <row r="134" spans="2:11" x14ac:dyDescent="0.45">
      <c r="B134" t="s">
        <v>450</v>
      </c>
      <c r="C134" s="1"/>
      <c r="D134" s="1"/>
      <c r="E134" s="8"/>
      <c r="F134" s="8"/>
      <c r="G134" s="1"/>
      <c r="H134" s="1"/>
      <c r="J134" s="2"/>
      <c r="K134" s="4"/>
    </row>
    <row r="135" spans="2:11" x14ac:dyDescent="0.45">
      <c r="B135" t="s">
        <v>451</v>
      </c>
      <c r="C135" s="1" t="s">
        <v>452</v>
      </c>
      <c r="D135" s="1" t="s">
        <v>8</v>
      </c>
      <c r="E135" s="8" t="s">
        <v>9</v>
      </c>
      <c r="F135" s="8"/>
      <c r="G135" s="1" t="s">
        <v>453</v>
      </c>
      <c r="H135" s="1" t="s">
        <v>454</v>
      </c>
      <c r="J135" s="2"/>
      <c r="K135" s="4"/>
    </row>
    <row r="136" spans="2:11" x14ac:dyDescent="0.45">
      <c r="B136" t="s">
        <v>455</v>
      </c>
      <c r="C136" s="1" t="s">
        <v>456</v>
      </c>
      <c r="D136" s="1" t="s">
        <v>8</v>
      </c>
      <c r="E136" s="8" t="s">
        <v>9</v>
      </c>
      <c r="F136" s="8"/>
      <c r="G136" s="1" t="s">
        <v>457</v>
      </c>
      <c r="H136" s="1" t="s">
        <v>15</v>
      </c>
      <c r="J136" s="2"/>
      <c r="K136" s="4"/>
    </row>
    <row r="137" spans="2:11" x14ac:dyDescent="0.45">
      <c r="B137" t="s">
        <v>458</v>
      </c>
      <c r="C137" s="1" t="s">
        <v>459</v>
      </c>
      <c r="D137" s="1" t="s">
        <v>248</v>
      </c>
      <c r="E137" s="8" t="s">
        <v>9</v>
      </c>
      <c r="F137" s="8"/>
      <c r="G137" s="1" t="s">
        <v>457</v>
      </c>
      <c r="H137" s="1" t="s">
        <v>15</v>
      </c>
      <c r="J137" s="2"/>
      <c r="K137" s="4"/>
    </row>
    <row r="138" spans="2:11" x14ac:dyDescent="0.45">
      <c r="B138" t="s">
        <v>460</v>
      </c>
      <c r="C138" s="1" t="s">
        <v>461</v>
      </c>
      <c r="D138" s="1" t="s">
        <v>462</v>
      </c>
      <c r="E138" s="8" t="s">
        <v>9</v>
      </c>
      <c r="F138" s="8"/>
      <c r="G138" s="1" t="s">
        <v>463</v>
      </c>
      <c r="H138" s="1" t="s">
        <v>464</v>
      </c>
      <c r="J138" s="2"/>
      <c r="K138" s="4"/>
    </row>
    <row r="139" spans="2:11" x14ac:dyDescent="0.45">
      <c r="B139" t="s">
        <v>465</v>
      </c>
      <c r="C139" s="1" t="s">
        <v>466</v>
      </c>
      <c r="D139" s="1" t="s">
        <v>8</v>
      </c>
      <c r="E139" s="8" t="s">
        <v>9</v>
      </c>
      <c r="F139" s="8"/>
      <c r="G139" s="1" t="s">
        <v>467</v>
      </c>
      <c r="H139" s="1" t="s">
        <v>468</v>
      </c>
      <c r="J139" s="2"/>
      <c r="K139" s="4"/>
    </row>
    <row r="140" spans="2:11" x14ac:dyDescent="0.45">
      <c r="B140" t="s">
        <v>469</v>
      </c>
      <c r="C140" s="1" t="s">
        <v>470</v>
      </c>
      <c r="D140" s="1" t="s">
        <v>471</v>
      </c>
      <c r="E140" s="8" t="s">
        <v>472</v>
      </c>
      <c r="F140" s="8"/>
      <c r="G140" s="1" t="s">
        <v>473</v>
      </c>
      <c r="H140" s="1" t="s">
        <v>474</v>
      </c>
      <c r="J140" s="2"/>
      <c r="K140" s="4"/>
    </row>
    <row r="141" spans="2:11" x14ac:dyDescent="0.45">
      <c r="B141" t="s">
        <v>475</v>
      </c>
      <c r="C141" s="1"/>
      <c r="D141" s="1"/>
      <c r="E141" s="8"/>
      <c r="F141" s="8"/>
      <c r="G141" s="1"/>
      <c r="H141" s="1"/>
      <c r="J141" s="2"/>
      <c r="K141" s="4"/>
    </row>
    <row r="142" spans="2:11" x14ac:dyDescent="0.45">
      <c r="B142" t="s">
        <v>476</v>
      </c>
      <c r="C142" s="1" t="s">
        <v>477</v>
      </c>
      <c r="D142" s="1" t="s">
        <v>478</v>
      </c>
      <c r="E142" s="8" t="s">
        <v>9</v>
      </c>
      <c r="F142" s="8"/>
      <c r="G142" s="1" t="s">
        <v>479</v>
      </c>
      <c r="H142" s="1" t="s">
        <v>480</v>
      </c>
      <c r="J142" s="2"/>
      <c r="K142" s="4"/>
    </row>
    <row r="143" spans="2:11" x14ac:dyDescent="0.45">
      <c r="B143" t="s">
        <v>481</v>
      </c>
      <c r="C143" s="1" t="s">
        <v>482</v>
      </c>
      <c r="D143" s="1" t="s">
        <v>483</v>
      </c>
      <c r="E143" s="8" t="s">
        <v>105</v>
      </c>
      <c r="F143" s="8"/>
      <c r="G143" s="1" t="s">
        <v>484</v>
      </c>
      <c r="H143" s="1" t="s">
        <v>485</v>
      </c>
      <c r="J143" s="2"/>
      <c r="K143" s="4"/>
    </row>
    <row r="144" spans="2:11" x14ac:dyDescent="0.45">
      <c r="B144" t="s">
        <v>486</v>
      </c>
      <c r="C144" s="1" t="s">
        <v>487</v>
      </c>
      <c r="D144" s="1" t="s">
        <v>478</v>
      </c>
      <c r="E144" s="8" t="s">
        <v>9</v>
      </c>
      <c r="F144" s="8"/>
      <c r="G144" s="1" t="s">
        <v>488</v>
      </c>
      <c r="H144" s="1" t="s">
        <v>489</v>
      </c>
      <c r="J144" s="2"/>
      <c r="K144" s="4"/>
    </row>
    <row r="145" spans="1:11" x14ac:dyDescent="0.45">
      <c r="B145" t="s">
        <v>490</v>
      </c>
      <c r="C145" s="1" t="s">
        <v>491</v>
      </c>
      <c r="D145" s="1" t="s">
        <v>492</v>
      </c>
      <c r="E145" s="8" t="s">
        <v>105</v>
      </c>
      <c r="F145" s="8"/>
      <c r="G145" s="1" t="s">
        <v>493</v>
      </c>
      <c r="H145" s="1" t="s">
        <v>494</v>
      </c>
      <c r="J145" s="2"/>
      <c r="K145" s="4"/>
    </row>
    <row r="146" spans="1:11" x14ac:dyDescent="0.45">
      <c r="B146" t="s">
        <v>495</v>
      </c>
      <c r="C146" s="1" t="s">
        <v>496</v>
      </c>
      <c r="D146" s="1" t="s">
        <v>497</v>
      </c>
      <c r="E146" s="8" t="s">
        <v>9</v>
      </c>
      <c r="F146" s="8"/>
      <c r="G146" s="1" t="s">
        <v>498</v>
      </c>
      <c r="H146" s="1" t="s">
        <v>499</v>
      </c>
      <c r="J146" s="2"/>
      <c r="K146" s="4"/>
    </row>
    <row r="147" spans="1:11" x14ac:dyDescent="0.45">
      <c r="C147" s="1"/>
      <c r="D147" s="1"/>
      <c r="E147" s="8"/>
      <c r="F147" s="8"/>
      <c r="G147" s="1"/>
      <c r="H147" s="1"/>
      <c r="J147" s="2"/>
      <c r="K147" s="4"/>
    </row>
    <row r="148" spans="1:11" x14ac:dyDescent="0.45">
      <c r="C148" s="1"/>
      <c r="D148" s="1"/>
      <c r="E148" s="8"/>
      <c r="F148" s="8"/>
      <c r="G148" s="1"/>
      <c r="H148" s="1"/>
      <c r="J148" s="2"/>
      <c r="K148" s="4"/>
    </row>
    <row r="149" spans="1:11" x14ac:dyDescent="0.45">
      <c r="K149" s="4"/>
    </row>
    <row r="150" spans="1:11" x14ac:dyDescent="0.45">
      <c r="K150" s="4"/>
    </row>
    <row r="151" spans="1:11" x14ac:dyDescent="0.45">
      <c r="K151" s="4"/>
    </row>
    <row r="152" spans="1:11" x14ac:dyDescent="0.45">
      <c r="B152">
        <v>1</v>
      </c>
      <c r="C152" t="s">
        <v>551</v>
      </c>
      <c r="K152" s="4"/>
    </row>
    <row r="153" spans="1:11" x14ac:dyDescent="0.45">
      <c r="A153" t="s">
        <v>553</v>
      </c>
      <c r="B153">
        <v>2</v>
      </c>
      <c r="C153" t="s">
        <v>552</v>
      </c>
      <c r="K153" s="4"/>
    </row>
    <row r="154" spans="1:11" x14ac:dyDescent="0.45">
      <c r="B154">
        <v>3</v>
      </c>
      <c r="K154" s="4"/>
    </row>
    <row r="155" spans="1:11" x14ac:dyDescent="0.45">
      <c r="K155" s="4"/>
    </row>
    <row r="156" spans="1:11" x14ac:dyDescent="0.45">
      <c r="K156" s="4"/>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5"/>
  <sheetViews>
    <sheetView topLeftCell="A25" zoomScale="70" zoomScaleNormal="70" workbookViewId="0">
      <selection activeCell="D32" sqref="D32"/>
    </sheetView>
  </sheetViews>
  <sheetFormatPr defaultRowHeight="17" x14ac:dyDescent="0.45"/>
  <cols>
    <col min="2" max="2" width="35" bestFit="1" customWidth="1"/>
    <col min="3" max="3" width="13.9140625" bestFit="1" customWidth="1"/>
    <col min="4" max="5" width="15" bestFit="1" customWidth="1"/>
  </cols>
  <sheetData>
    <row r="1" spans="2:6" x14ac:dyDescent="0.45">
      <c r="B1" t="s">
        <v>529</v>
      </c>
    </row>
    <row r="3" spans="2:6" x14ac:dyDescent="0.45">
      <c r="B3" t="s">
        <v>530</v>
      </c>
    </row>
    <row r="4" spans="2:6" x14ac:dyDescent="0.45">
      <c r="B4" t="s">
        <v>531</v>
      </c>
    </row>
    <row r="5" spans="2:6" x14ac:dyDescent="0.45">
      <c r="B5" t="s">
        <v>532</v>
      </c>
    </row>
    <row r="6" spans="2:6" x14ac:dyDescent="0.45">
      <c r="B6" t="s">
        <v>533</v>
      </c>
      <c r="C6">
        <v>22</v>
      </c>
      <c r="D6">
        <v>23</v>
      </c>
      <c r="E6">
        <v>24</v>
      </c>
    </row>
    <row r="7" spans="2:6" x14ac:dyDescent="0.45">
      <c r="B7" t="s">
        <v>546</v>
      </c>
    </row>
    <row r="8" spans="2:6" x14ac:dyDescent="0.45">
      <c r="B8" t="s">
        <v>534</v>
      </c>
      <c r="C8">
        <v>1</v>
      </c>
      <c r="D8" s="9">
        <v>2859646275</v>
      </c>
      <c r="E8" s="9">
        <v>1211791636</v>
      </c>
    </row>
    <row r="9" spans="2:6" x14ac:dyDescent="0.45">
      <c r="B9" t="s">
        <v>535</v>
      </c>
      <c r="C9">
        <v>2</v>
      </c>
      <c r="D9" s="9">
        <v>113815513485</v>
      </c>
      <c r="E9" s="9">
        <v>54163078254</v>
      </c>
      <c r="F9" s="3" t="s">
        <v>550</v>
      </c>
    </row>
    <row r="10" spans="2:6" x14ac:dyDescent="0.45">
      <c r="B10" t="s">
        <v>536</v>
      </c>
      <c r="C10">
        <v>3</v>
      </c>
      <c r="D10" s="9">
        <v>20854107628</v>
      </c>
      <c r="E10" s="9">
        <v>23350845890</v>
      </c>
    </row>
    <row r="11" spans="2:6" x14ac:dyDescent="0.45">
      <c r="B11" t="s">
        <v>537</v>
      </c>
      <c r="C11">
        <v>4</v>
      </c>
      <c r="D11" s="9">
        <v>58726620</v>
      </c>
      <c r="E11" s="9">
        <v>97257054</v>
      </c>
    </row>
    <row r="12" spans="2:6" x14ac:dyDescent="0.45">
      <c r="B12" t="s">
        <v>538</v>
      </c>
      <c r="D12" s="9">
        <v>6340836534</v>
      </c>
      <c r="E12" s="9">
        <v>2965386650</v>
      </c>
    </row>
    <row r="13" spans="2:6" x14ac:dyDescent="0.45">
      <c r="B13" s="10" t="s">
        <v>547</v>
      </c>
      <c r="D13" s="11">
        <v>143928830542</v>
      </c>
      <c r="E13" s="11">
        <v>81788359484</v>
      </c>
    </row>
    <row r="14" spans="2:6" x14ac:dyDescent="0.45">
      <c r="B14" t="s">
        <v>539</v>
      </c>
      <c r="D14" s="9">
        <v>118566423965</v>
      </c>
      <c r="E14" s="9">
        <v>59293577247</v>
      </c>
    </row>
    <row r="15" spans="2:6" x14ac:dyDescent="0.45">
      <c r="B15" t="s">
        <v>540</v>
      </c>
      <c r="D15" s="9">
        <v>2158269186</v>
      </c>
      <c r="E15" s="9">
        <v>1632264921</v>
      </c>
    </row>
    <row r="16" spans="2:6" x14ac:dyDescent="0.45">
      <c r="B16" t="s">
        <v>548</v>
      </c>
      <c r="D16" s="9">
        <v>120724693151</v>
      </c>
      <c r="E16" s="9">
        <v>60925842168</v>
      </c>
    </row>
    <row r="17" spans="1:5" x14ac:dyDescent="0.45">
      <c r="B17" t="s">
        <v>541</v>
      </c>
      <c r="D17" s="9">
        <v>1142200000</v>
      </c>
      <c r="E17" s="9">
        <v>1142200000</v>
      </c>
    </row>
    <row r="18" spans="1:5" x14ac:dyDescent="0.45">
      <c r="B18" t="s">
        <v>542</v>
      </c>
      <c r="D18" s="9">
        <v>2693924000</v>
      </c>
      <c r="E18" s="9">
        <v>2693924000</v>
      </c>
    </row>
    <row r="19" spans="1:5" x14ac:dyDescent="0.45">
      <c r="B19" t="s">
        <v>543</v>
      </c>
      <c r="D19" t="s">
        <v>15</v>
      </c>
      <c r="E19" s="9">
        <v>936999420</v>
      </c>
    </row>
    <row r="20" spans="1:5" x14ac:dyDescent="0.45">
      <c r="B20" t="s">
        <v>544</v>
      </c>
      <c r="D20" s="9">
        <v>19368013391</v>
      </c>
      <c r="E20" s="9">
        <v>16089393896</v>
      </c>
    </row>
    <row r="21" spans="1:5" x14ac:dyDescent="0.45">
      <c r="B21" t="s">
        <v>549</v>
      </c>
      <c r="D21" s="9">
        <v>23204137391</v>
      </c>
      <c r="E21" s="9">
        <v>20862517316</v>
      </c>
    </row>
    <row r="22" spans="1:5" x14ac:dyDescent="0.45">
      <c r="B22" t="s">
        <v>545</v>
      </c>
      <c r="D22" s="9">
        <v>143928830542</v>
      </c>
      <c r="E22" s="9">
        <v>81788359484</v>
      </c>
    </row>
    <row r="24" spans="1:5" x14ac:dyDescent="0.45">
      <c r="A24" t="s">
        <v>555</v>
      </c>
    </row>
    <row r="25" spans="1:5" x14ac:dyDescent="0.45">
      <c r="A25">
        <v>6.1</v>
      </c>
      <c r="B25" t="s">
        <v>554</v>
      </c>
      <c r="E25" s="12">
        <f>IFERROR((E13-D13)/D13,"")</f>
        <v>-0.43174443107746041</v>
      </c>
    </row>
    <row r="32" spans="1:5" x14ac:dyDescent="0.45">
      <c r="A32">
        <v>7</v>
      </c>
      <c r="B32" t="s">
        <v>556</v>
      </c>
    </row>
    <row r="34" spans="1:5" x14ac:dyDescent="0.45">
      <c r="B34" t="s">
        <v>559</v>
      </c>
    </row>
    <row r="35" spans="1:5" x14ac:dyDescent="0.45">
      <c r="B35" t="s">
        <v>557</v>
      </c>
      <c r="C35" t="s">
        <v>560</v>
      </c>
      <c r="D35" t="s">
        <v>561</v>
      </c>
    </row>
    <row r="36" spans="1:5" x14ac:dyDescent="0.45">
      <c r="B36" t="s">
        <v>558</v>
      </c>
      <c r="C36">
        <v>14125</v>
      </c>
      <c r="D36">
        <v>7.3</v>
      </c>
    </row>
    <row r="39" spans="1:5" x14ac:dyDescent="0.45">
      <c r="A39" t="s">
        <v>563</v>
      </c>
    </row>
    <row r="41" spans="1:5" x14ac:dyDescent="0.45">
      <c r="A41" t="s">
        <v>562</v>
      </c>
      <c r="B41" t="s">
        <v>564</v>
      </c>
    </row>
    <row r="44" spans="1:5" x14ac:dyDescent="0.45">
      <c r="B44" s="13">
        <f ca="1">TODAY()</f>
        <v>45963</v>
      </c>
      <c r="C44" s="14">
        <f ca="1">YEAR(B44)-1</f>
        <v>2024</v>
      </c>
      <c r="D44">
        <v>12</v>
      </c>
      <c r="E44" s="9">
        <f>E13</f>
        <v>81788359484</v>
      </c>
    </row>
    <row r="45" spans="1:5" x14ac:dyDescent="0.45">
      <c r="E45" s="9">
        <f>E19</f>
        <v>936999420</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337"/>
  <sheetViews>
    <sheetView tabSelected="1" topLeftCell="A97" zoomScale="85" zoomScaleNormal="85" workbookViewId="0">
      <selection activeCell="D110" sqref="D110"/>
    </sheetView>
  </sheetViews>
  <sheetFormatPr defaultRowHeight="17" x14ac:dyDescent="0.45"/>
  <cols>
    <col min="2" max="2" width="8.1640625" bestFit="1" customWidth="1"/>
    <col min="3" max="3" width="3" customWidth="1"/>
    <col min="4" max="4" width="23.5" customWidth="1"/>
    <col min="5" max="5" width="16.75" bestFit="1" customWidth="1"/>
    <col min="6" max="6" width="10.58203125" bestFit="1" customWidth="1"/>
    <col min="7" max="7" width="13.58203125" customWidth="1"/>
    <col min="8" max="8" width="16.83203125" bestFit="1" customWidth="1"/>
  </cols>
  <sheetData>
    <row r="1" spans="2:4" x14ac:dyDescent="0.45">
      <c r="B1" t="s">
        <v>573</v>
      </c>
    </row>
    <row r="3" spans="2:4" x14ac:dyDescent="0.45">
      <c r="B3">
        <v>1</v>
      </c>
    </row>
    <row r="4" spans="2:4" x14ac:dyDescent="0.45">
      <c r="D4" t="s">
        <v>565</v>
      </c>
    </row>
    <row r="5" spans="2:4" x14ac:dyDescent="0.45">
      <c r="D5" t="s">
        <v>566</v>
      </c>
    </row>
    <row r="6" spans="2:4" x14ac:dyDescent="0.45">
      <c r="D6" t="s">
        <v>567</v>
      </c>
    </row>
    <row r="7" spans="2:4" x14ac:dyDescent="0.45">
      <c r="D7" t="s">
        <v>568</v>
      </c>
    </row>
    <row r="8" spans="2:4" x14ac:dyDescent="0.45">
      <c r="D8" t="s">
        <v>58</v>
      </c>
    </row>
    <row r="9" spans="2:4" x14ac:dyDescent="0.45">
      <c r="D9" s="15">
        <v>7.8E-2</v>
      </c>
    </row>
    <row r="10" spans="2:4" x14ac:dyDescent="0.45">
      <c r="D10" t="s">
        <v>569</v>
      </c>
    </row>
    <row r="11" spans="2:4" x14ac:dyDescent="0.45">
      <c r="D11" t="s">
        <v>570</v>
      </c>
    </row>
    <row r="12" spans="2:4" x14ac:dyDescent="0.45">
      <c r="D12" t="s">
        <v>83</v>
      </c>
    </row>
    <row r="13" spans="2:4" x14ac:dyDescent="0.45">
      <c r="D13" t="s">
        <v>571</v>
      </c>
    </row>
    <row r="14" spans="2:4" x14ac:dyDescent="0.45">
      <c r="D14" t="s">
        <v>572</v>
      </c>
    </row>
    <row r="37" spans="2:17" ht="17.5" thickBot="1" x14ac:dyDescent="0.5">
      <c r="B37">
        <v>4</v>
      </c>
      <c r="D37" s="210" t="s">
        <v>751</v>
      </c>
      <c r="J37" s="211" t="s">
        <v>752</v>
      </c>
    </row>
    <row r="38" spans="2:17" x14ac:dyDescent="0.45">
      <c r="D38" s="16" t="s">
        <v>627</v>
      </c>
      <c r="E38" s="78">
        <v>23.06</v>
      </c>
      <c r="F38" s="78">
        <v>23.07</v>
      </c>
      <c r="G38" s="78">
        <v>23.08</v>
      </c>
      <c r="H38" s="78">
        <v>23.09</v>
      </c>
      <c r="I38" s="78">
        <v>23.1</v>
      </c>
      <c r="J38" s="78">
        <v>23.11</v>
      </c>
      <c r="K38" s="202">
        <v>23.12</v>
      </c>
      <c r="L38" s="78">
        <v>24.01</v>
      </c>
      <c r="M38" s="78">
        <v>24.02</v>
      </c>
      <c r="N38" s="77">
        <v>24.03</v>
      </c>
      <c r="O38" s="77">
        <v>24.04</v>
      </c>
      <c r="P38" s="203">
        <v>24.05</v>
      </c>
    </row>
    <row r="39" spans="2:17" x14ac:dyDescent="0.45">
      <c r="D39" s="19" t="s">
        <v>247</v>
      </c>
      <c r="E39" s="204">
        <v>164166</v>
      </c>
      <c r="F39" s="117">
        <v>160214</v>
      </c>
      <c r="G39" s="204">
        <v>155085</v>
      </c>
      <c r="H39" s="117">
        <v>150791</v>
      </c>
      <c r="I39" s="204">
        <v>148667</v>
      </c>
      <c r="J39" s="117">
        <v>145731</v>
      </c>
      <c r="K39" s="205">
        <v>143929</v>
      </c>
      <c r="L39" s="117">
        <v>129191</v>
      </c>
      <c r="M39" s="117">
        <v>72763</v>
      </c>
      <c r="N39" s="117">
        <v>65338</v>
      </c>
      <c r="O39" s="117">
        <v>63773</v>
      </c>
      <c r="P39" s="206">
        <v>63174</v>
      </c>
    </row>
    <row r="40" spans="2:17" x14ac:dyDescent="0.45">
      <c r="D40" s="19" t="s">
        <v>254</v>
      </c>
      <c r="E40" s="117">
        <v>23467</v>
      </c>
      <c r="F40" s="117">
        <v>23576</v>
      </c>
      <c r="G40" s="117">
        <v>23449</v>
      </c>
      <c r="H40" s="117">
        <v>23219</v>
      </c>
      <c r="I40" s="117">
        <v>23383</v>
      </c>
      <c r="J40" s="117">
        <v>23468</v>
      </c>
      <c r="K40" s="205">
        <v>23204</v>
      </c>
      <c r="L40" s="117">
        <v>23673</v>
      </c>
      <c r="M40" s="117">
        <v>23623</v>
      </c>
      <c r="N40" s="117">
        <v>22730</v>
      </c>
      <c r="O40" s="117">
        <v>22069</v>
      </c>
      <c r="P40" s="206">
        <v>21950</v>
      </c>
    </row>
    <row r="41" spans="2:17" ht="17.5" thickBot="1" x14ac:dyDescent="0.5">
      <c r="D41" s="23" t="s">
        <v>657</v>
      </c>
      <c r="E41" s="207">
        <v>7</v>
      </c>
      <c r="F41" s="207">
        <v>6.8</v>
      </c>
      <c r="G41" s="207">
        <v>6.61</v>
      </c>
      <c r="H41" s="207">
        <v>6.49</v>
      </c>
      <c r="I41" s="207">
        <v>6.36</v>
      </c>
      <c r="J41" s="207">
        <v>6.21</v>
      </c>
      <c r="K41" s="208">
        <v>6.2</v>
      </c>
      <c r="L41" s="207">
        <v>5.46</v>
      </c>
      <c r="M41" s="207">
        <v>3.08</v>
      </c>
      <c r="N41" s="207">
        <v>2.88</v>
      </c>
      <c r="O41" s="207">
        <v>2.89</v>
      </c>
      <c r="P41" s="209">
        <v>2.88</v>
      </c>
    </row>
    <row r="44" spans="2:17" ht="17.5" thickBot="1" x14ac:dyDescent="0.5">
      <c r="D44" s="210" t="s">
        <v>753</v>
      </c>
      <c r="J44" s="212" t="s">
        <v>755</v>
      </c>
    </row>
    <row r="45" spans="2:17" x14ac:dyDescent="0.45">
      <c r="D45" s="227" t="s">
        <v>627</v>
      </c>
      <c r="E45" s="228"/>
      <c r="F45" s="77">
        <v>23.06</v>
      </c>
      <c r="G45" s="17">
        <v>23.07</v>
      </c>
      <c r="H45" s="77">
        <v>23.08</v>
      </c>
      <c r="I45" s="77">
        <v>23.09</v>
      </c>
      <c r="J45" s="78">
        <v>23.1</v>
      </c>
      <c r="K45" s="77">
        <v>23.11</v>
      </c>
      <c r="L45" s="202">
        <v>23.12</v>
      </c>
      <c r="M45" s="77">
        <v>24.01</v>
      </c>
      <c r="N45" s="77">
        <v>24.02</v>
      </c>
      <c r="O45" s="77">
        <v>24.03</v>
      </c>
      <c r="P45" s="77">
        <v>24.04</v>
      </c>
      <c r="Q45" s="213">
        <v>24.05</v>
      </c>
    </row>
    <row r="46" spans="2:17" x14ac:dyDescent="0.45">
      <c r="D46" s="229" t="s">
        <v>575</v>
      </c>
      <c r="E46" s="230"/>
      <c r="F46" s="117">
        <v>148454</v>
      </c>
      <c r="G46" s="214">
        <v>140888</v>
      </c>
      <c r="H46" s="117">
        <v>135525</v>
      </c>
      <c r="I46" s="117">
        <v>132827</v>
      </c>
      <c r="J46" s="204">
        <v>128109</v>
      </c>
      <c r="K46" s="117">
        <v>126387</v>
      </c>
      <c r="L46" s="205">
        <v>119583</v>
      </c>
      <c r="M46" s="117">
        <v>97581</v>
      </c>
      <c r="N46" s="117">
        <v>48693</v>
      </c>
      <c r="O46" s="117">
        <v>44294</v>
      </c>
      <c r="P46" s="117">
        <v>45625</v>
      </c>
      <c r="Q46" s="206">
        <v>43809</v>
      </c>
    </row>
    <row r="47" spans="2:17" x14ac:dyDescent="0.45">
      <c r="D47" s="232" t="s">
        <v>756</v>
      </c>
      <c r="E47" s="20" t="s">
        <v>757</v>
      </c>
      <c r="F47" s="117">
        <v>1515</v>
      </c>
      <c r="G47" s="214">
        <v>1635</v>
      </c>
      <c r="H47" s="117">
        <v>1699</v>
      </c>
      <c r="I47" s="117">
        <v>1977</v>
      </c>
      <c r="J47" s="122">
        <v>826</v>
      </c>
      <c r="K47" s="117">
        <v>2375</v>
      </c>
      <c r="L47" s="205">
        <v>1349</v>
      </c>
      <c r="M47" s="117">
        <v>1685</v>
      </c>
      <c r="N47" s="122">
        <v>911</v>
      </c>
      <c r="O47" s="122">
        <v>296</v>
      </c>
      <c r="P47" s="122">
        <v>455</v>
      </c>
      <c r="Q47" s="215">
        <v>362</v>
      </c>
    </row>
    <row r="48" spans="2:17" x14ac:dyDescent="0.45">
      <c r="D48" s="231"/>
      <c r="E48" s="20" t="s">
        <v>758</v>
      </c>
      <c r="F48" s="117">
        <v>1481</v>
      </c>
      <c r="G48" s="214">
        <v>2732</v>
      </c>
      <c r="H48" s="117">
        <v>1868</v>
      </c>
      <c r="I48" s="117">
        <v>1875</v>
      </c>
      <c r="J48" s="117">
        <v>3667</v>
      </c>
      <c r="K48" s="117">
        <v>1666</v>
      </c>
      <c r="L48" s="205">
        <v>1807</v>
      </c>
      <c r="M48" s="117">
        <v>2832</v>
      </c>
      <c r="N48" s="117">
        <v>1427</v>
      </c>
      <c r="O48" s="122">
        <v>286</v>
      </c>
      <c r="P48" s="122">
        <v>333</v>
      </c>
      <c r="Q48" s="215">
        <v>677</v>
      </c>
    </row>
    <row r="49" spans="4:17" x14ac:dyDescent="0.45">
      <c r="D49" s="233"/>
      <c r="E49" s="20" t="s">
        <v>759</v>
      </c>
      <c r="F49" s="117">
        <v>15668</v>
      </c>
      <c r="G49" s="214">
        <v>10087</v>
      </c>
      <c r="H49" s="117">
        <v>11622</v>
      </c>
      <c r="I49" s="117">
        <v>12598</v>
      </c>
      <c r="J49" s="117">
        <v>12440</v>
      </c>
      <c r="K49" s="117">
        <v>14230</v>
      </c>
      <c r="L49" s="205">
        <v>9801</v>
      </c>
      <c r="M49" s="117">
        <v>10008</v>
      </c>
      <c r="N49" s="117">
        <v>12511</v>
      </c>
      <c r="O49" s="117">
        <v>12941</v>
      </c>
      <c r="P49" s="117">
        <v>12760</v>
      </c>
      <c r="Q49" s="206">
        <v>11897</v>
      </c>
    </row>
    <row r="50" spans="4:17" x14ac:dyDescent="0.45">
      <c r="D50" s="234" t="s">
        <v>760</v>
      </c>
      <c r="E50" s="235"/>
      <c r="F50" s="205">
        <v>18665</v>
      </c>
      <c r="G50" s="216">
        <v>14454</v>
      </c>
      <c r="H50" s="205">
        <v>15188</v>
      </c>
      <c r="I50" s="205">
        <v>16450</v>
      </c>
      <c r="J50" s="205">
        <v>16933</v>
      </c>
      <c r="K50" s="205">
        <v>18270</v>
      </c>
      <c r="L50" s="205">
        <v>12957</v>
      </c>
      <c r="M50" s="205">
        <v>14525</v>
      </c>
      <c r="N50" s="205">
        <v>14850</v>
      </c>
      <c r="O50" s="205">
        <v>13523</v>
      </c>
      <c r="P50" s="205">
        <v>13548</v>
      </c>
      <c r="Q50" s="217">
        <v>12936</v>
      </c>
    </row>
    <row r="51" spans="4:17" x14ac:dyDescent="0.45">
      <c r="D51" s="232" t="s">
        <v>761</v>
      </c>
      <c r="E51" s="20" t="s">
        <v>757</v>
      </c>
      <c r="F51" s="118">
        <v>1.0200000000000001E-2</v>
      </c>
      <c r="G51" s="218">
        <v>1.17E-2</v>
      </c>
      <c r="H51" s="118">
        <v>1.2500000000000001E-2</v>
      </c>
      <c r="I51" s="118">
        <v>1.49E-2</v>
      </c>
      <c r="J51" s="118">
        <v>6.4000000000000003E-3</v>
      </c>
      <c r="K51" s="118">
        <v>1.8800000000000001E-2</v>
      </c>
      <c r="L51" s="219">
        <v>1.1299999999999999E-2</v>
      </c>
      <c r="M51" s="118">
        <v>1.7299999999999999E-2</v>
      </c>
      <c r="N51" s="118">
        <v>1.8700000000000001E-2</v>
      </c>
      <c r="O51" s="118">
        <v>6.7000000000000002E-3</v>
      </c>
      <c r="P51" s="118">
        <v>0.01</v>
      </c>
      <c r="Q51" s="220">
        <v>8.3000000000000001E-3</v>
      </c>
    </row>
    <row r="52" spans="4:17" x14ac:dyDescent="0.45">
      <c r="D52" s="231"/>
      <c r="E52" s="20" t="s">
        <v>758</v>
      </c>
      <c r="F52" s="118">
        <v>0.01</v>
      </c>
      <c r="G52" s="218">
        <v>1.95E-2</v>
      </c>
      <c r="H52" s="118">
        <v>1.38E-2</v>
      </c>
      <c r="I52" s="118">
        <v>1.41E-2</v>
      </c>
      <c r="J52" s="118">
        <v>2.86E-2</v>
      </c>
      <c r="K52" s="118">
        <v>1.32E-2</v>
      </c>
      <c r="L52" s="219">
        <v>1.5100000000000001E-2</v>
      </c>
      <c r="M52" s="118">
        <v>2.9000000000000001E-2</v>
      </c>
      <c r="N52" s="118">
        <v>2.93E-2</v>
      </c>
      <c r="O52" s="118">
        <v>6.4000000000000003E-3</v>
      </c>
      <c r="P52" s="118">
        <v>7.3000000000000001E-3</v>
      </c>
      <c r="Q52" s="220">
        <v>1.55E-2</v>
      </c>
    </row>
    <row r="53" spans="4:17" x14ac:dyDescent="0.45">
      <c r="D53" s="233"/>
      <c r="E53" s="20" t="s">
        <v>759</v>
      </c>
      <c r="F53" s="118">
        <v>0.1055</v>
      </c>
      <c r="G53" s="218">
        <v>7.1999999999999995E-2</v>
      </c>
      <c r="H53" s="118">
        <v>8.5800000000000001E-2</v>
      </c>
      <c r="I53" s="118">
        <v>9.4799999999999995E-2</v>
      </c>
      <c r="J53" s="118">
        <v>9.7100000000000006E-2</v>
      </c>
      <c r="K53" s="118">
        <v>0.11260000000000001</v>
      </c>
      <c r="L53" s="219">
        <v>8.2000000000000003E-2</v>
      </c>
      <c r="M53" s="118">
        <v>0.1026</v>
      </c>
      <c r="N53" s="118">
        <v>0.25690000000000002</v>
      </c>
      <c r="O53" s="118">
        <v>0.29220000000000002</v>
      </c>
      <c r="P53" s="118">
        <v>0.2797</v>
      </c>
      <c r="Q53" s="220">
        <v>0.27160000000000001</v>
      </c>
    </row>
    <row r="54" spans="4:17" x14ac:dyDescent="0.45">
      <c r="D54" s="234" t="s">
        <v>760</v>
      </c>
      <c r="E54" s="235"/>
      <c r="F54" s="219">
        <v>0.12570000000000001</v>
      </c>
      <c r="G54" s="221">
        <v>0.1032</v>
      </c>
      <c r="H54" s="219">
        <v>0.11210000000000001</v>
      </c>
      <c r="I54" s="219">
        <v>0.12379999999999999</v>
      </c>
      <c r="J54" s="219">
        <v>0.13220000000000001</v>
      </c>
      <c r="K54" s="219">
        <v>0.14460000000000001</v>
      </c>
      <c r="L54" s="219">
        <v>0.10829999999999999</v>
      </c>
      <c r="M54" s="219">
        <v>0.1489</v>
      </c>
      <c r="N54" s="219">
        <v>0.30499999999999999</v>
      </c>
      <c r="O54" s="219">
        <v>0.30530000000000002</v>
      </c>
      <c r="P54" s="219">
        <v>0.29699999999999999</v>
      </c>
      <c r="Q54" s="222">
        <v>0.29530000000000001</v>
      </c>
    </row>
    <row r="55" spans="4:17" x14ac:dyDescent="0.45">
      <c r="D55" s="229" t="s">
        <v>269</v>
      </c>
      <c r="E55" s="230"/>
      <c r="F55" s="117">
        <v>11698</v>
      </c>
      <c r="G55" s="214">
        <v>7733</v>
      </c>
      <c r="H55" s="117">
        <v>8334</v>
      </c>
      <c r="I55" s="117">
        <v>9122</v>
      </c>
      <c r="J55" s="117">
        <v>9126</v>
      </c>
      <c r="K55" s="117">
        <v>9800</v>
      </c>
      <c r="L55" s="205">
        <v>5768</v>
      </c>
      <c r="M55" s="117">
        <v>6715</v>
      </c>
      <c r="N55" s="117">
        <v>7496</v>
      </c>
      <c r="O55" s="117">
        <v>7950</v>
      </c>
      <c r="P55" s="117">
        <v>8364</v>
      </c>
      <c r="Q55" s="206">
        <v>8353</v>
      </c>
    </row>
    <row r="56" spans="4:17" x14ac:dyDescent="0.45">
      <c r="D56" s="229" t="s">
        <v>762</v>
      </c>
      <c r="E56" s="230"/>
      <c r="F56" s="122">
        <v>335</v>
      </c>
      <c r="G56" s="120">
        <v>-215</v>
      </c>
      <c r="H56" s="122">
        <v>60</v>
      </c>
      <c r="I56" s="122">
        <v>21</v>
      </c>
      <c r="J56" s="122">
        <v>29</v>
      </c>
      <c r="K56" s="122">
        <v>39</v>
      </c>
      <c r="L56" s="223">
        <v>136</v>
      </c>
      <c r="M56" s="122">
        <v>1</v>
      </c>
      <c r="N56" s="122">
        <v>3</v>
      </c>
      <c r="O56" s="122">
        <v>15</v>
      </c>
      <c r="P56" s="122">
        <v>34</v>
      </c>
      <c r="Q56" s="215">
        <v>6</v>
      </c>
    </row>
    <row r="57" spans="4:17" ht="17.5" thickBot="1" x14ac:dyDescent="0.5">
      <c r="D57" s="236" t="s">
        <v>763</v>
      </c>
      <c r="E57" s="237"/>
      <c r="F57" s="207" t="s">
        <v>15</v>
      </c>
      <c r="G57" s="224">
        <v>7843</v>
      </c>
      <c r="H57" s="207">
        <v>282</v>
      </c>
      <c r="I57" s="207" t="s">
        <v>15</v>
      </c>
      <c r="J57" s="207">
        <v>891</v>
      </c>
      <c r="K57" s="207" t="s">
        <v>15</v>
      </c>
      <c r="L57" s="225">
        <v>4972</v>
      </c>
      <c r="M57" s="226">
        <v>19173</v>
      </c>
      <c r="N57" s="226">
        <v>52132</v>
      </c>
      <c r="O57" s="226">
        <v>13915</v>
      </c>
      <c r="P57" s="207">
        <v>-226</v>
      </c>
      <c r="Q57" s="209">
        <v>-94</v>
      </c>
    </row>
    <row r="60" spans="4:17" ht="17.5" thickBot="1" x14ac:dyDescent="0.5">
      <c r="D60" s="210" t="s">
        <v>764</v>
      </c>
      <c r="J60" s="212" t="s">
        <v>755</v>
      </c>
    </row>
    <row r="61" spans="4:17" ht="17.5" thickBot="1" x14ac:dyDescent="0.5">
      <c r="D61" s="247" t="s">
        <v>765</v>
      </c>
      <c r="E61" s="248"/>
      <c r="F61" s="251">
        <v>24.01</v>
      </c>
      <c r="G61" s="248"/>
      <c r="H61" s="252">
        <v>24.02</v>
      </c>
      <c r="I61" s="253"/>
      <c r="J61" s="252">
        <v>24.03</v>
      </c>
      <c r="K61" s="253"/>
      <c r="L61" s="252">
        <v>24.04</v>
      </c>
      <c r="M61" s="253"/>
      <c r="N61" s="252">
        <v>24.05</v>
      </c>
      <c r="O61" s="253"/>
      <c r="P61" s="254">
        <v>24.06</v>
      </c>
      <c r="Q61" s="255"/>
    </row>
    <row r="62" spans="4:17" x14ac:dyDescent="0.45">
      <c r="D62" s="249"/>
      <c r="E62" s="250"/>
      <c r="F62" s="238" t="s">
        <v>766</v>
      </c>
      <c r="G62" s="239" t="s">
        <v>767</v>
      </c>
      <c r="H62" s="238" t="s">
        <v>766</v>
      </c>
      <c r="I62" s="240" t="s">
        <v>767</v>
      </c>
      <c r="J62" s="238" t="s">
        <v>766</v>
      </c>
      <c r="K62" s="240" t="s">
        <v>767</v>
      </c>
      <c r="L62" s="238" t="s">
        <v>766</v>
      </c>
      <c r="M62" s="240" t="s">
        <v>767</v>
      </c>
      <c r="N62" s="238" t="s">
        <v>766</v>
      </c>
      <c r="O62" s="240" t="s">
        <v>767</v>
      </c>
      <c r="P62" s="241" t="s">
        <v>766</v>
      </c>
      <c r="Q62" s="242" t="s">
        <v>767</v>
      </c>
    </row>
    <row r="63" spans="4:17" ht="17" customHeight="1" x14ac:dyDescent="0.45">
      <c r="D63" s="256" t="s">
        <v>768</v>
      </c>
      <c r="E63" s="257"/>
      <c r="F63" s="258">
        <v>97581</v>
      </c>
      <c r="G63" s="259"/>
      <c r="H63" s="258">
        <v>48693</v>
      </c>
      <c r="I63" s="259"/>
      <c r="J63" s="258">
        <v>44294</v>
      </c>
      <c r="K63" s="259"/>
      <c r="L63" s="258">
        <v>45625</v>
      </c>
      <c r="M63" s="259"/>
      <c r="N63" s="258">
        <v>43809</v>
      </c>
      <c r="O63" s="259"/>
      <c r="P63" s="258">
        <v>45060</v>
      </c>
      <c r="Q63" s="260"/>
    </row>
    <row r="64" spans="4:17" ht="17" customHeight="1" x14ac:dyDescent="0.45">
      <c r="D64" s="262" t="s">
        <v>769</v>
      </c>
      <c r="E64" s="20" t="s">
        <v>770</v>
      </c>
      <c r="F64" s="51">
        <v>164</v>
      </c>
      <c r="G64" s="51">
        <v>34</v>
      </c>
      <c r="H64" s="51">
        <v>18</v>
      </c>
      <c r="I64" s="51">
        <v>84</v>
      </c>
      <c r="J64" s="51">
        <v>5</v>
      </c>
      <c r="K64" s="51">
        <v>126</v>
      </c>
      <c r="L64" s="51">
        <v>25</v>
      </c>
      <c r="M64" s="51">
        <v>153</v>
      </c>
      <c r="N64" s="51">
        <v>194</v>
      </c>
      <c r="O64" s="51">
        <v>127</v>
      </c>
      <c r="P64" s="51">
        <v>236</v>
      </c>
      <c r="Q64" s="50">
        <v>115</v>
      </c>
    </row>
    <row r="65" spans="4:17" ht="17" customHeight="1" x14ac:dyDescent="0.45">
      <c r="D65" s="261"/>
      <c r="E65" s="20" t="s">
        <v>50</v>
      </c>
      <c r="F65" s="32">
        <v>1364</v>
      </c>
      <c r="G65" s="51">
        <v>572</v>
      </c>
      <c r="H65" s="32">
        <v>3663</v>
      </c>
      <c r="I65" s="32">
        <v>1548</v>
      </c>
      <c r="J65" s="32">
        <v>8178</v>
      </c>
      <c r="K65" s="32">
        <v>2351</v>
      </c>
      <c r="L65" s="51">
        <v>762</v>
      </c>
      <c r="M65" s="32">
        <v>3208</v>
      </c>
      <c r="N65" s="244">
        <v>2354</v>
      </c>
      <c r="O65" s="32">
        <v>2869</v>
      </c>
      <c r="P65" s="32">
        <v>2229</v>
      </c>
      <c r="Q65" s="42">
        <v>2408</v>
      </c>
    </row>
    <row r="66" spans="4:17" ht="17" customHeight="1" x14ac:dyDescent="0.45">
      <c r="D66" s="263"/>
      <c r="E66" s="20" t="s">
        <v>380</v>
      </c>
      <c r="F66" s="32">
        <v>1210</v>
      </c>
      <c r="G66" s="51">
        <v>560</v>
      </c>
      <c r="H66" s="32">
        <v>4846</v>
      </c>
      <c r="I66" s="32">
        <v>2054</v>
      </c>
      <c r="J66" s="32">
        <v>12958</v>
      </c>
      <c r="K66" s="32">
        <v>4186</v>
      </c>
      <c r="L66" s="32">
        <v>11597</v>
      </c>
      <c r="M66" s="32">
        <v>6827</v>
      </c>
      <c r="N66" s="244">
        <v>8862</v>
      </c>
      <c r="O66" s="32">
        <v>8972</v>
      </c>
      <c r="P66" s="32">
        <v>8929</v>
      </c>
      <c r="Q66" s="42">
        <v>10448</v>
      </c>
    </row>
    <row r="67" spans="4:17" ht="17" customHeight="1" x14ac:dyDescent="0.45">
      <c r="D67" s="262" t="s">
        <v>771</v>
      </c>
      <c r="E67" s="20" t="s">
        <v>772</v>
      </c>
      <c r="F67" s="51">
        <v>0</v>
      </c>
      <c r="G67" s="51">
        <v>0</v>
      </c>
      <c r="H67" s="51">
        <v>0</v>
      </c>
      <c r="I67" s="51">
        <v>0</v>
      </c>
      <c r="J67" s="51">
        <v>10</v>
      </c>
      <c r="K67" s="51">
        <v>30</v>
      </c>
      <c r="L67" s="51">
        <v>10</v>
      </c>
      <c r="M67" s="51">
        <v>30</v>
      </c>
      <c r="N67" s="51">
        <v>15</v>
      </c>
      <c r="O67" s="51">
        <v>20</v>
      </c>
      <c r="P67" s="51">
        <v>3</v>
      </c>
      <c r="Q67" s="50">
        <v>80</v>
      </c>
    </row>
    <row r="68" spans="4:17" ht="17" customHeight="1" x14ac:dyDescent="0.45">
      <c r="D68" s="261"/>
      <c r="E68" s="20" t="s">
        <v>773</v>
      </c>
      <c r="F68" s="51">
        <v>0</v>
      </c>
      <c r="G68" s="51">
        <v>0</v>
      </c>
      <c r="H68" s="51">
        <v>0</v>
      </c>
      <c r="I68" s="51">
        <v>0</v>
      </c>
      <c r="J68" s="51">
        <v>0</v>
      </c>
      <c r="K68" s="51">
        <v>0</v>
      </c>
      <c r="L68" s="51">
        <v>0</v>
      </c>
      <c r="M68" s="51">
        <v>0</v>
      </c>
      <c r="N68" s="51">
        <v>7</v>
      </c>
      <c r="O68" s="51">
        <v>0</v>
      </c>
      <c r="P68" s="51">
        <v>0</v>
      </c>
      <c r="Q68" s="50">
        <v>0</v>
      </c>
    </row>
    <row r="69" spans="4:17" ht="17" customHeight="1" x14ac:dyDescent="0.45">
      <c r="D69" s="263"/>
      <c r="E69" s="20" t="s">
        <v>774</v>
      </c>
      <c r="F69" s="51">
        <v>0</v>
      </c>
      <c r="G69" s="51">
        <v>0</v>
      </c>
      <c r="H69" s="51">
        <v>0</v>
      </c>
      <c r="I69" s="51">
        <v>0</v>
      </c>
      <c r="J69" s="51">
        <v>0</v>
      </c>
      <c r="K69" s="51">
        <v>0</v>
      </c>
      <c r="L69" s="51">
        <v>0</v>
      </c>
      <c r="M69" s="51">
        <v>0</v>
      </c>
      <c r="N69" s="51">
        <v>10</v>
      </c>
      <c r="O69" s="51">
        <v>30</v>
      </c>
      <c r="P69" s="51">
        <v>10</v>
      </c>
      <c r="Q69" s="50">
        <v>30</v>
      </c>
    </row>
    <row r="70" spans="4:17" ht="17" customHeight="1" thickBot="1" x14ac:dyDescent="0.5">
      <c r="D70" s="264" t="s">
        <v>775</v>
      </c>
      <c r="E70" s="265"/>
      <c r="F70" s="51">
        <v>0</v>
      </c>
      <c r="G70" s="51">
        <v>0</v>
      </c>
      <c r="H70" s="51">
        <v>0</v>
      </c>
      <c r="I70" s="51">
        <v>0</v>
      </c>
      <c r="J70" s="51">
        <v>10</v>
      </c>
      <c r="K70" s="51">
        <v>30</v>
      </c>
      <c r="L70" s="51">
        <v>10</v>
      </c>
      <c r="M70" s="51">
        <v>30</v>
      </c>
      <c r="N70" s="51">
        <v>32</v>
      </c>
      <c r="O70" s="51">
        <v>50</v>
      </c>
      <c r="P70" s="51">
        <v>13</v>
      </c>
      <c r="Q70" s="50">
        <v>110</v>
      </c>
    </row>
    <row r="71" spans="4:17" ht="17" customHeight="1" x14ac:dyDescent="0.45">
      <c r="D71" s="266" t="s">
        <v>776</v>
      </c>
      <c r="E71" s="20" t="s">
        <v>772</v>
      </c>
      <c r="F71" s="33">
        <v>0</v>
      </c>
      <c r="G71" s="33">
        <v>0</v>
      </c>
      <c r="H71" s="33">
        <v>0</v>
      </c>
      <c r="I71" s="33">
        <v>0</v>
      </c>
      <c r="J71" s="33">
        <v>0</v>
      </c>
      <c r="K71" s="33">
        <v>1E-3</v>
      </c>
      <c r="L71" s="33">
        <v>0</v>
      </c>
      <c r="M71" s="33">
        <v>1E-3</v>
      </c>
      <c r="N71" s="245">
        <v>0</v>
      </c>
      <c r="O71" s="33">
        <v>0</v>
      </c>
      <c r="P71" s="33">
        <v>0</v>
      </c>
      <c r="Q71" s="152">
        <v>2E-3</v>
      </c>
    </row>
    <row r="72" spans="4:17" ht="17" customHeight="1" x14ac:dyDescent="0.45">
      <c r="D72" s="261"/>
      <c r="E72" s="20" t="s">
        <v>773</v>
      </c>
      <c r="F72" s="33">
        <v>0</v>
      </c>
      <c r="G72" s="33">
        <v>0</v>
      </c>
      <c r="H72" s="33">
        <v>0</v>
      </c>
      <c r="I72" s="33">
        <v>0</v>
      </c>
      <c r="J72" s="33">
        <v>0</v>
      </c>
      <c r="K72" s="33">
        <v>0</v>
      </c>
      <c r="L72" s="33">
        <v>0</v>
      </c>
      <c r="M72" s="33">
        <v>0</v>
      </c>
      <c r="N72" s="245">
        <v>0</v>
      </c>
      <c r="O72" s="33">
        <v>0</v>
      </c>
      <c r="P72" s="33">
        <v>0</v>
      </c>
      <c r="Q72" s="152">
        <v>0</v>
      </c>
    </row>
    <row r="73" spans="4:17" ht="17" customHeight="1" x14ac:dyDescent="0.45">
      <c r="D73" s="263"/>
      <c r="E73" s="20" t="s">
        <v>774</v>
      </c>
      <c r="F73" s="33">
        <v>0</v>
      </c>
      <c r="G73" s="33">
        <v>0</v>
      </c>
      <c r="H73" s="33">
        <v>0</v>
      </c>
      <c r="I73" s="33">
        <v>0</v>
      </c>
      <c r="J73" s="33">
        <v>0</v>
      </c>
      <c r="K73" s="33">
        <v>0</v>
      </c>
      <c r="L73" s="33">
        <v>0</v>
      </c>
      <c r="M73" s="33">
        <v>0</v>
      </c>
      <c r="N73" s="245">
        <v>0</v>
      </c>
      <c r="O73" s="33">
        <v>1E-3</v>
      </c>
      <c r="P73" s="33">
        <v>0</v>
      </c>
      <c r="Q73" s="152">
        <v>1E-3</v>
      </c>
    </row>
    <row r="74" spans="4:17" ht="17" customHeight="1" thickBot="1" x14ac:dyDescent="0.5">
      <c r="D74" s="264" t="s">
        <v>775</v>
      </c>
      <c r="E74" s="265"/>
      <c r="F74" s="35">
        <v>0</v>
      </c>
      <c r="G74" s="35">
        <v>0</v>
      </c>
      <c r="H74" s="35">
        <v>0</v>
      </c>
      <c r="I74" s="35">
        <v>0</v>
      </c>
      <c r="J74" s="35">
        <v>0</v>
      </c>
      <c r="K74" s="35">
        <v>1E-3</v>
      </c>
      <c r="L74" s="35">
        <v>0</v>
      </c>
      <c r="M74" s="35">
        <v>1E-3</v>
      </c>
      <c r="N74" s="246">
        <v>1E-3</v>
      </c>
      <c r="O74" s="35">
        <v>1E-3</v>
      </c>
      <c r="P74" s="35">
        <v>0</v>
      </c>
      <c r="Q74" s="153">
        <v>2E-3</v>
      </c>
    </row>
    <row r="75" spans="4:17" ht="17" customHeight="1" x14ac:dyDescent="0.45"/>
    <row r="76" spans="4:17" ht="17" customHeight="1" x14ac:dyDescent="0.45"/>
    <row r="77" spans="4:17" ht="17" customHeight="1" thickBot="1" x14ac:dyDescent="0.5">
      <c r="D77" s="210" t="s">
        <v>777</v>
      </c>
      <c r="J77" s="212" t="s">
        <v>754</v>
      </c>
    </row>
    <row r="78" spans="4:17" ht="17" customHeight="1" x14ac:dyDescent="0.45">
      <c r="D78" s="271" t="s">
        <v>627</v>
      </c>
      <c r="E78" s="273" t="s">
        <v>575</v>
      </c>
      <c r="F78" s="252" t="s">
        <v>778</v>
      </c>
      <c r="G78" s="274"/>
      <c r="H78" s="274"/>
      <c r="I78" s="253"/>
      <c r="J78" s="275" t="s">
        <v>779</v>
      </c>
    </row>
    <row r="79" spans="4:17" ht="17" customHeight="1" x14ac:dyDescent="0.45">
      <c r="D79" s="272"/>
      <c r="E79" s="29"/>
      <c r="F79" s="267" t="s">
        <v>780</v>
      </c>
      <c r="G79" s="267" t="s">
        <v>781</v>
      </c>
      <c r="H79" s="268" t="s">
        <v>782</v>
      </c>
      <c r="I79" s="267" t="s">
        <v>783</v>
      </c>
      <c r="J79" s="276"/>
    </row>
    <row r="80" spans="4:17" ht="17" customHeight="1" x14ac:dyDescent="0.45">
      <c r="D80" s="19">
        <v>23.06</v>
      </c>
      <c r="E80" s="32">
        <v>148454</v>
      </c>
      <c r="F80" s="32">
        <v>11154</v>
      </c>
      <c r="G80" s="51">
        <v>878</v>
      </c>
      <c r="H80" s="51">
        <v>335</v>
      </c>
      <c r="I80" s="32">
        <v>11698</v>
      </c>
      <c r="J80" s="152">
        <v>7.8799999999999995E-2</v>
      </c>
    </row>
    <row r="81" spans="4:12" ht="17" customHeight="1" x14ac:dyDescent="0.45">
      <c r="D81" s="19">
        <v>23.07</v>
      </c>
      <c r="E81" s="32">
        <v>140088</v>
      </c>
      <c r="F81" s="32">
        <v>11698</v>
      </c>
      <c r="G81" s="51">
        <v>902</v>
      </c>
      <c r="H81" s="32">
        <v>4867</v>
      </c>
      <c r="I81" s="32">
        <v>7733</v>
      </c>
      <c r="J81" s="152">
        <v>5.5199999999999999E-2</v>
      </c>
    </row>
    <row r="82" spans="4:12" ht="17" customHeight="1" x14ac:dyDescent="0.45">
      <c r="D82" s="19">
        <v>23.08</v>
      </c>
      <c r="E82" s="32">
        <v>135525</v>
      </c>
      <c r="F82" s="32">
        <v>7733</v>
      </c>
      <c r="G82" s="51">
        <v>944</v>
      </c>
      <c r="H82" s="51">
        <v>342</v>
      </c>
      <c r="I82" s="32">
        <v>8334</v>
      </c>
      <c r="J82" s="152">
        <v>6.1499999999999999E-2</v>
      </c>
    </row>
    <row r="83" spans="4:12" ht="17" customHeight="1" x14ac:dyDescent="0.45">
      <c r="D83" s="19">
        <v>23.09</v>
      </c>
      <c r="E83" s="32">
        <v>132827</v>
      </c>
      <c r="F83" s="32">
        <v>8334</v>
      </c>
      <c r="G83" s="51">
        <v>808</v>
      </c>
      <c r="H83" s="51">
        <v>21</v>
      </c>
      <c r="I83" s="32">
        <v>9122</v>
      </c>
      <c r="J83" s="152">
        <v>6.8699999999999997E-2</v>
      </c>
    </row>
    <row r="84" spans="4:12" ht="17" customHeight="1" x14ac:dyDescent="0.45">
      <c r="D84" s="19">
        <v>23.1</v>
      </c>
      <c r="E84" s="32">
        <v>128109</v>
      </c>
      <c r="F84" s="32">
        <v>9122</v>
      </c>
      <c r="G84" s="51">
        <v>687</v>
      </c>
      <c r="H84" s="51">
        <v>683</v>
      </c>
      <c r="I84" s="32">
        <v>9126</v>
      </c>
      <c r="J84" s="152">
        <v>7.1199999999999999E-2</v>
      </c>
    </row>
    <row r="85" spans="4:12" ht="17" customHeight="1" x14ac:dyDescent="0.45">
      <c r="D85" s="19">
        <v>23.11</v>
      </c>
      <c r="E85" s="32">
        <v>126387</v>
      </c>
      <c r="F85" s="32">
        <v>9126</v>
      </c>
      <c r="G85" s="51">
        <v>713</v>
      </c>
      <c r="H85" s="51">
        <v>39</v>
      </c>
      <c r="I85" s="32">
        <v>9800</v>
      </c>
      <c r="J85" s="152">
        <v>7.7499999999999999E-2</v>
      </c>
    </row>
    <row r="86" spans="4:12" ht="17" customHeight="1" x14ac:dyDescent="0.45">
      <c r="D86" s="89">
        <v>23.12</v>
      </c>
      <c r="E86" s="39">
        <v>119583</v>
      </c>
      <c r="F86" s="39">
        <v>9800</v>
      </c>
      <c r="G86" s="53">
        <v>177</v>
      </c>
      <c r="H86" s="39">
        <v>4209</v>
      </c>
      <c r="I86" s="39">
        <v>5768</v>
      </c>
      <c r="J86" s="269">
        <v>4.82E-2</v>
      </c>
    </row>
    <row r="87" spans="4:12" ht="17" customHeight="1" x14ac:dyDescent="0.45">
      <c r="D87" s="19">
        <v>24.01</v>
      </c>
      <c r="E87" s="32">
        <v>97581</v>
      </c>
      <c r="F87" s="32">
        <v>5768</v>
      </c>
      <c r="G87" s="51">
        <v>948</v>
      </c>
      <c r="H87" s="51">
        <v>0</v>
      </c>
      <c r="I87" s="32">
        <v>6715</v>
      </c>
      <c r="J87" s="152">
        <v>6.88E-2</v>
      </c>
    </row>
    <row r="88" spans="4:12" ht="17" customHeight="1" x14ac:dyDescent="0.45">
      <c r="D88" s="19">
        <v>24.02</v>
      </c>
      <c r="E88" s="32">
        <v>48693</v>
      </c>
      <c r="F88" s="32">
        <v>6222</v>
      </c>
      <c r="G88" s="51">
        <v>784</v>
      </c>
      <c r="H88" s="51">
        <v>3</v>
      </c>
      <c r="I88" s="32">
        <v>7496</v>
      </c>
      <c r="J88" s="152">
        <v>0.15390000000000001</v>
      </c>
    </row>
    <row r="89" spans="4:12" ht="17" customHeight="1" x14ac:dyDescent="0.45">
      <c r="D89" s="19">
        <v>24.03</v>
      </c>
      <c r="E89" s="32">
        <v>44294</v>
      </c>
      <c r="F89" s="32">
        <v>6773</v>
      </c>
      <c r="G89" s="51">
        <v>468</v>
      </c>
      <c r="H89" s="51">
        <v>15</v>
      </c>
      <c r="I89" s="32">
        <v>7950</v>
      </c>
      <c r="J89" s="152">
        <v>0.17949999999999999</v>
      </c>
    </row>
    <row r="90" spans="4:12" ht="17" customHeight="1" x14ac:dyDescent="0.45">
      <c r="D90" s="19">
        <v>24.04</v>
      </c>
      <c r="E90" s="32">
        <v>45625</v>
      </c>
      <c r="F90" s="32">
        <v>7279</v>
      </c>
      <c r="G90" s="51">
        <v>449</v>
      </c>
      <c r="H90" s="51">
        <v>34</v>
      </c>
      <c r="I90" s="32">
        <v>8364</v>
      </c>
      <c r="J90" s="152">
        <v>0.18329999999999999</v>
      </c>
    </row>
    <row r="91" spans="4:12" ht="17" customHeight="1" thickBot="1" x14ac:dyDescent="0.5">
      <c r="D91" s="23">
        <v>24.05</v>
      </c>
      <c r="E91" s="34">
        <v>43809</v>
      </c>
      <c r="F91" s="34">
        <v>8364</v>
      </c>
      <c r="G91" s="270">
        <v>-6</v>
      </c>
      <c r="H91" s="270">
        <v>6</v>
      </c>
      <c r="I91" s="34">
        <v>8353</v>
      </c>
      <c r="J91" s="153">
        <v>0.19070000000000001</v>
      </c>
    </row>
    <row r="92" spans="4:12" ht="17" customHeight="1" x14ac:dyDescent="0.45"/>
    <row r="93" spans="4:12" ht="17" customHeight="1" x14ac:dyDescent="0.45"/>
    <row r="94" spans="4:12" ht="17" customHeight="1" x14ac:dyDescent="0.45"/>
    <row r="95" spans="4:12" ht="17" customHeight="1" thickBot="1" x14ac:dyDescent="0.5">
      <c r="D95" s="211" t="s">
        <v>804</v>
      </c>
      <c r="J95" s="277" t="s">
        <v>785</v>
      </c>
    </row>
    <row r="96" spans="4:12" ht="17" customHeight="1" x14ac:dyDescent="0.45">
      <c r="D96" s="16" t="s">
        <v>627</v>
      </c>
      <c r="E96" s="59" t="s">
        <v>786</v>
      </c>
      <c r="F96" s="59" t="s">
        <v>787</v>
      </c>
      <c r="G96" s="59" t="s">
        <v>788</v>
      </c>
      <c r="H96" s="59" t="s">
        <v>789</v>
      </c>
      <c r="I96" s="78" t="s">
        <v>790</v>
      </c>
      <c r="J96" s="77" t="s">
        <v>791</v>
      </c>
      <c r="K96" s="77" t="s">
        <v>792</v>
      </c>
      <c r="L96" s="203" t="s">
        <v>793</v>
      </c>
    </row>
    <row r="97" spans="4:16" ht="17" customHeight="1" x14ac:dyDescent="0.45">
      <c r="D97" s="19" t="s">
        <v>794</v>
      </c>
      <c r="E97" s="51">
        <v>0.3</v>
      </c>
      <c r="F97" s="51">
        <v>3</v>
      </c>
      <c r="G97" s="51">
        <v>20</v>
      </c>
      <c r="H97" s="51">
        <v>50</v>
      </c>
      <c r="I97" s="51">
        <v>65</v>
      </c>
      <c r="J97" s="51">
        <v>85</v>
      </c>
      <c r="K97" s="51">
        <v>100</v>
      </c>
      <c r="L97" s="50">
        <v>100</v>
      </c>
    </row>
    <row r="98" spans="4:16" ht="17" customHeight="1" x14ac:dyDescent="0.45">
      <c r="D98" s="19" t="s">
        <v>795</v>
      </c>
      <c r="E98" s="51">
        <v>60</v>
      </c>
      <c r="F98" s="51">
        <v>60</v>
      </c>
      <c r="G98" s="51">
        <v>60</v>
      </c>
      <c r="H98" s="51">
        <v>60</v>
      </c>
      <c r="I98" s="51">
        <v>60</v>
      </c>
      <c r="J98" s="51">
        <v>60</v>
      </c>
      <c r="K98" s="51">
        <v>60</v>
      </c>
      <c r="L98" s="50">
        <v>60</v>
      </c>
    </row>
    <row r="99" spans="4:16" ht="17" customHeight="1" x14ac:dyDescent="0.45">
      <c r="D99" s="19" t="s">
        <v>796</v>
      </c>
      <c r="E99" s="51">
        <v>55</v>
      </c>
      <c r="F99" s="51">
        <v>55</v>
      </c>
      <c r="G99" s="51">
        <v>55</v>
      </c>
      <c r="H99" s="51">
        <v>55</v>
      </c>
      <c r="I99" s="51">
        <v>55</v>
      </c>
      <c r="J99" s="51">
        <v>55</v>
      </c>
      <c r="K99" s="51">
        <v>55</v>
      </c>
      <c r="L99" s="50">
        <v>55</v>
      </c>
    </row>
    <row r="100" spans="4:16" ht="17" customHeight="1" thickBot="1" x14ac:dyDescent="0.5">
      <c r="D100" s="23" t="s">
        <v>797</v>
      </c>
      <c r="E100" s="270">
        <v>0.3</v>
      </c>
      <c r="F100" s="270">
        <v>3</v>
      </c>
      <c r="G100" s="270">
        <v>10</v>
      </c>
      <c r="H100" s="270">
        <v>20</v>
      </c>
      <c r="I100" s="270">
        <v>20</v>
      </c>
      <c r="J100" s="270">
        <v>100</v>
      </c>
      <c r="K100" s="270">
        <v>100</v>
      </c>
      <c r="L100" s="278">
        <v>100</v>
      </c>
    </row>
    <row r="101" spans="4:16" ht="17" customHeight="1" x14ac:dyDescent="0.45">
      <c r="D101" s="279" t="s">
        <v>798</v>
      </c>
    </row>
    <row r="102" spans="4:16" ht="17" customHeight="1" x14ac:dyDescent="0.45">
      <c r="D102" s="279"/>
    </row>
    <row r="103" spans="4:16" ht="17" customHeight="1" x14ac:dyDescent="0.45">
      <c r="D103" s="279"/>
    </row>
    <row r="104" spans="4:16" ht="17" customHeight="1" thickBot="1" x14ac:dyDescent="0.5">
      <c r="D104" s="211" t="s">
        <v>805</v>
      </c>
      <c r="J104" s="277" t="s">
        <v>754</v>
      </c>
    </row>
    <row r="105" spans="4:16" ht="17" customHeight="1" x14ac:dyDescent="0.45">
      <c r="D105" s="280" t="s">
        <v>627</v>
      </c>
      <c r="E105" s="78">
        <v>23.06</v>
      </c>
      <c r="F105" s="78">
        <v>23.07</v>
      </c>
      <c r="G105" s="78">
        <v>23.08</v>
      </c>
      <c r="H105" s="78">
        <v>23.09</v>
      </c>
      <c r="I105" s="78">
        <v>23.1</v>
      </c>
      <c r="J105" s="78">
        <v>23.11</v>
      </c>
      <c r="K105" s="202">
        <v>23.12</v>
      </c>
      <c r="L105" s="78">
        <v>24.01</v>
      </c>
      <c r="M105" s="78">
        <v>24.02</v>
      </c>
      <c r="N105" s="78">
        <v>24.03</v>
      </c>
      <c r="O105" s="78">
        <v>24.04</v>
      </c>
      <c r="P105" s="213">
        <v>24.05</v>
      </c>
    </row>
    <row r="106" spans="4:16" ht="17" customHeight="1" x14ac:dyDescent="0.45">
      <c r="D106" s="41" t="s">
        <v>799</v>
      </c>
      <c r="E106" s="32">
        <v>148454</v>
      </c>
      <c r="F106" s="32">
        <v>140088</v>
      </c>
      <c r="G106" s="32">
        <v>135525</v>
      </c>
      <c r="H106" s="244">
        <v>132827</v>
      </c>
      <c r="I106" s="32">
        <v>128109</v>
      </c>
      <c r="J106" s="32">
        <v>126387</v>
      </c>
      <c r="K106" s="39">
        <v>119583</v>
      </c>
      <c r="L106" s="32">
        <v>97581</v>
      </c>
      <c r="M106" s="32">
        <v>48693</v>
      </c>
      <c r="N106" s="32">
        <v>44294</v>
      </c>
      <c r="O106" s="32">
        <v>45625</v>
      </c>
      <c r="P106" s="42">
        <v>43809</v>
      </c>
    </row>
    <row r="107" spans="4:16" ht="17" customHeight="1" x14ac:dyDescent="0.45">
      <c r="D107" s="41" t="s">
        <v>800</v>
      </c>
      <c r="E107" s="32">
        <v>18665</v>
      </c>
      <c r="F107" s="32">
        <v>14454</v>
      </c>
      <c r="G107" s="32">
        <v>15188</v>
      </c>
      <c r="H107" s="32">
        <v>16450</v>
      </c>
      <c r="I107" s="32">
        <v>16933</v>
      </c>
      <c r="J107" s="32">
        <v>18270</v>
      </c>
      <c r="K107" s="39">
        <v>12957</v>
      </c>
      <c r="L107" s="32">
        <v>14525</v>
      </c>
      <c r="M107" s="32">
        <v>14850</v>
      </c>
      <c r="N107" s="32">
        <v>13523</v>
      </c>
      <c r="O107" s="32">
        <v>13548</v>
      </c>
      <c r="P107" s="42">
        <v>12936</v>
      </c>
    </row>
    <row r="108" spans="4:16" ht="17" customHeight="1" x14ac:dyDescent="0.45">
      <c r="D108" s="41" t="s">
        <v>801</v>
      </c>
      <c r="E108" s="32">
        <v>11698</v>
      </c>
      <c r="F108" s="32">
        <v>7733</v>
      </c>
      <c r="G108" s="32">
        <v>8334</v>
      </c>
      <c r="H108" s="32">
        <v>9122</v>
      </c>
      <c r="I108" s="32">
        <v>9126</v>
      </c>
      <c r="J108" s="32">
        <v>9800</v>
      </c>
      <c r="K108" s="39">
        <v>5768</v>
      </c>
      <c r="L108" s="32">
        <v>6715</v>
      </c>
      <c r="M108" s="32">
        <v>7496</v>
      </c>
      <c r="N108" s="32">
        <v>7950</v>
      </c>
      <c r="O108" s="32">
        <v>8364</v>
      </c>
      <c r="P108" s="42">
        <v>8353</v>
      </c>
    </row>
    <row r="109" spans="4:16" ht="17" customHeight="1" x14ac:dyDescent="0.45">
      <c r="D109" s="41" t="s">
        <v>802</v>
      </c>
      <c r="E109" s="33">
        <v>0.12570000000000001</v>
      </c>
      <c r="F109" s="33">
        <v>0.1032</v>
      </c>
      <c r="G109" s="33">
        <v>0.11210000000000001</v>
      </c>
      <c r="H109" s="281">
        <v>0.12379999999999999</v>
      </c>
      <c r="I109" s="33">
        <v>0.13220000000000001</v>
      </c>
      <c r="J109" s="33">
        <v>0.14460000000000001</v>
      </c>
      <c r="K109" s="282">
        <v>0.10829999999999999</v>
      </c>
      <c r="L109" s="33">
        <v>0.1489</v>
      </c>
      <c r="M109" s="33">
        <v>0.30499999999999999</v>
      </c>
      <c r="N109" s="51" t="s">
        <v>803</v>
      </c>
      <c r="O109" s="33">
        <v>0.29699999999999999</v>
      </c>
      <c r="P109" s="152">
        <v>0.29530000000000001</v>
      </c>
    </row>
    <row r="110" spans="4:16" ht="17" customHeight="1" x14ac:dyDescent="0.45">
      <c r="D110" s="243" t="s">
        <v>806</v>
      </c>
      <c r="E110" s="284">
        <v>7.8799999999999995E-2</v>
      </c>
      <c r="F110" s="284">
        <v>5.5199999999999999E-2</v>
      </c>
      <c r="G110" s="284">
        <v>6.1499999999999999E-2</v>
      </c>
      <c r="H110" s="284">
        <v>6.8699999999999997E-2</v>
      </c>
      <c r="I110" s="284">
        <v>7.1199999999999999E-2</v>
      </c>
      <c r="J110" s="284">
        <v>7.7499999999999999E-2</v>
      </c>
      <c r="K110" s="286">
        <v>4.82E-2</v>
      </c>
      <c r="L110" s="284">
        <v>6.88E-2</v>
      </c>
      <c r="M110" s="284">
        <v>0.15390000000000001</v>
      </c>
      <c r="N110" s="284">
        <v>0.17949999999999999</v>
      </c>
      <c r="O110" s="284">
        <v>0.18329999999999999</v>
      </c>
      <c r="P110" s="288">
        <v>0.19070000000000001</v>
      </c>
    </row>
    <row r="111" spans="4:16" ht="17" customHeight="1" x14ac:dyDescent="0.45">
      <c r="D111" s="41" t="s">
        <v>809</v>
      </c>
      <c r="E111" s="285"/>
      <c r="F111" s="285"/>
      <c r="G111" s="285"/>
      <c r="H111" s="285"/>
      <c r="I111" s="285"/>
      <c r="J111" s="285"/>
      <c r="K111" s="287"/>
      <c r="L111" s="285"/>
      <c r="M111" s="285"/>
      <c r="N111" s="285"/>
      <c r="O111" s="285"/>
      <c r="P111" s="289"/>
    </row>
    <row r="112" spans="4:16" ht="17" customHeight="1" x14ac:dyDescent="0.45">
      <c r="D112" s="243" t="s">
        <v>807</v>
      </c>
      <c r="E112" s="284">
        <v>0.74660000000000004</v>
      </c>
      <c r="F112" s="284">
        <v>0.76659999999999995</v>
      </c>
      <c r="G112" s="284">
        <v>0.71709999999999996</v>
      </c>
      <c r="H112" s="291">
        <v>0.72399999999999998</v>
      </c>
      <c r="I112" s="284">
        <v>0.73360000000000003</v>
      </c>
      <c r="J112" s="284">
        <v>0.68869999999999998</v>
      </c>
      <c r="K112" s="286">
        <v>0.58850000000000002</v>
      </c>
      <c r="L112" s="284">
        <v>0.67100000000000004</v>
      </c>
      <c r="M112" s="284">
        <v>0.59909999999999997</v>
      </c>
      <c r="N112" s="284">
        <v>0.61429999999999996</v>
      </c>
      <c r="O112" s="284">
        <v>0.65549999999999997</v>
      </c>
      <c r="P112" s="288">
        <v>0.70209999999999995</v>
      </c>
    </row>
    <row r="113" spans="4:16" ht="17" customHeight="1" thickBot="1" x14ac:dyDescent="0.5">
      <c r="D113" s="283" t="s">
        <v>808</v>
      </c>
      <c r="E113" s="290"/>
      <c r="F113" s="290"/>
      <c r="G113" s="290"/>
      <c r="H113" s="292"/>
      <c r="I113" s="290"/>
      <c r="J113" s="290"/>
      <c r="K113" s="293"/>
      <c r="L113" s="290"/>
      <c r="M113" s="290"/>
      <c r="N113" s="290"/>
      <c r="O113" s="290"/>
      <c r="P113" s="294"/>
    </row>
    <row r="114" spans="4:16" ht="17" customHeight="1" x14ac:dyDescent="0.45"/>
    <row r="115" spans="4:16" ht="17" customHeight="1" x14ac:dyDescent="0.45">
      <c r="D115" t="s">
        <v>784</v>
      </c>
    </row>
    <row r="116" spans="4:16" ht="17" customHeight="1" x14ac:dyDescent="0.45"/>
    <row r="117" spans="4:16" ht="17" customHeight="1" x14ac:dyDescent="0.45"/>
    <row r="118" spans="4:16" ht="17" customHeight="1" x14ac:dyDescent="0.45"/>
    <row r="119" spans="4:16" ht="17" customHeight="1" x14ac:dyDescent="0.45"/>
    <row r="120" spans="4:16" ht="17" customHeight="1" x14ac:dyDescent="0.45"/>
    <row r="121" spans="4:16" ht="17" customHeight="1" x14ac:dyDescent="0.45"/>
    <row r="122" spans="4:16" ht="17" customHeight="1" x14ac:dyDescent="0.45"/>
    <row r="131" spans="2:8" ht="17.5" thickBot="1" x14ac:dyDescent="0.5"/>
    <row r="132" spans="2:8" ht="43.5" customHeight="1" x14ac:dyDescent="0.45">
      <c r="B132">
        <v>5</v>
      </c>
      <c r="D132" s="16" t="s">
        <v>580</v>
      </c>
      <c r="E132" s="17" t="s">
        <v>581</v>
      </c>
      <c r="F132" s="17" t="s">
        <v>582</v>
      </c>
      <c r="G132" s="18" t="s">
        <v>583</v>
      </c>
    </row>
    <row r="133" spans="2:8" x14ac:dyDescent="0.45">
      <c r="D133" s="19" t="s">
        <v>584</v>
      </c>
      <c r="E133" s="20" t="s">
        <v>585</v>
      </c>
      <c r="F133" s="20" t="s">
        <v>586</v>
      </c>
      <c r="G133" s="21" t="s">
        <v>587</v>
      </c>
    </row>
    <row r="134" spans="2:8" ht="29" x14ac:dyDescent="0.45">
      <c r="D134" s="26" t="s">
        <v>588</v>
      </c>
      <c r="E134" s="22" t="s">
        <v>589</v>
      </c>
      <c r="F134" s="28" t="s">
        <v>591</v>
      </c>
      <c r="G134" s="30">
        <v>41234</v>
      </c>
    </row>
    <row r="135" spans="2:8" ht="29" x14ac:dyDescent="0.45">
      <c r="D135" s="27"/>
      <c r="E135" s="20" t="s">
        <v>590</v>
      </c>
      <c r="F135" s="29"/>
      <c r="G135" s="31"/>
    </row>
    <row r="136" spans="2:8" ht="43.5" x14ac:dyDescent="0.45">
      <c r="D136" s="19" t="s">
        <v>592</v>
      </c>
      <c r="E136" s="20" t="s">
        <v>593</v>
      </c>
      <c r="F136" s="20" t="s">
        <v>594</v>
      </c>
      <c r="G136" s="21" t="s">
        <v>595</v>
      </c>
    </row>
    <row r="137" spans="2:8" ht="29.5" thickBot="1" x14ac:dyDescent="0.5">
      <c r="D137" s="23" t="s">
        <v>596</v>
      </c>
      <c r="E137" s="24" t="s">
        <v>597</v>
      </c>
      <c r="F137" s="24" t="s">
        <v>598</v>
      </c>
      <c r="G137" s="25" t="s">
        <v>599</v>
      </c>
    </row>
    <row r="139" spans="2:8" ht="17.5" thickBot="1" x14ac:dyDescent="0.5"/>
    <row r="140" spans="2:8" x14ac:dyDescent="0.45">
      <c r="D140" s="16" t="s">
        <v>600</v>
      </c>
      <c r="E140" s="17" t="s">
        <v>601</v>
      </c>
      <c r="F140" s="17" t="s">
        <v>602</v>
      </c>
      <c r="G140" s="17" t="s">
        <v>603</v>
      </c>
      <c r="H140" s="18" t="s">
        <v>604</v>
      </c>
    </row>
    <row r="141" spans="2:8" x14ac:dyDescent="0.45">
      <c r="D141" s="19" t="s">
        <v>605</v>
      </c>
      <c r="E141" s="32">
        <v>60000</v>
      </c>
      <c r="F141" s="32">
        <v>300000000</v>
      </c>
      <c r="G141" s="33">
        <v>0.3</v>
      </c>
      <c r="H141" s="21" t="s">
        <v>606</v>
      </c>
    </row>
    <row r="142" spans="2:8" x14ac:dyDescent="0.45">
      <c r="D142" s="19" t="s">
        <v>607</v>
      </c>
      <c r="E142" s="32">
        <v>60000</v>
      </c>
      <c r="F142" s="32">
        <v>300000000</v>
      </c>
      <c r="G142" s="33">
        <v>0.3</v>
      </c>
      <c r="H142" s="21" t="s">
        <v>606</v>
      </c>
    </row>
    <row r="143" spans="2:8" x14ac:dyDescent="0.45">
      <c r="D143" s="19" t="s">
        <v>608</v>
      </c>
      <c r="E143" s="32">
        <v>50000</v>
      </c>
      <c r="F143" s="32">
        <v>250000000</v>
      </c>
      <c r="G143" s="33">
        <v>0.25</v>
      </c>
      <c r="H143" s="21" t="s">
        <v>15</v>
      </c>
    </row>
    <row r="144" spans="2:8" ht="29" x14ac:dyDescent="0.45">
      <c r="D144" s="19" t="s">
        <v>609</v>
      </c>
      <c r="E144" s="32">
        <v>18000</v>
      </c>
      <c r="F144" s="32">
        <v>90000000</v>
      </c>
      <c r="G144" s="33">
        <v>0.09</v>
      </c>
      <c r="H144" s="21" t="s">
        <v>610</v>
      </c>
    </row>
    <row r="145" spans="4:8" ht="29" x14ac:dyDescent="0.45">
      <c r="D145" s="19" t="s">
        <v>611</v>
      </c>
      <c r="E145" s="32">
        <v>10000</v>
      </c>
      <c r="F145" s="32">
        <v>50000000</v>
      </c>
      <c r="G145" s="33">
        <v>0.05</v>
      </c>
      <c r="H145" s="21" t="s">
        <v>610</v>
      </c>
    </row>
    <row r="146" spans="4:8" x14ac:dyDescent="0.45">
      <c r="D146" s="19" t="s">
        <v>612</v>
      </c>
      <c r="E146" s="32">
        <v>2000</v>
      </c>
      <c r="F146" s="32">
        <v>10000000</v>
      </c>
      <c r="G146" s="33">
        <v>0.01</v>
      </c>
      <c r="H146" s="21" t="s">
        <v>15</v>
      </c>
    </row>
    <row r="147" spans="4:8" ht="17.5" thickBot="1" x14ac:dyDescent="0.5">
      <c r="D147" s="23" t="s">
        <v>613</v>
      </c>
      <c r="E147" s="34">
        <v>200000</v>
      </c>
      <c r="F147" s="34">
        <v>1000000000</v>
      </c>
      <c r="G147" s="35">
        <v>1</v>
      </c>
      <c r="H147" s="25" t="s">
        <v>15</v>
      </c>
    </row>
    <row r="149" spans="4:8" ht="17.5" thickBot="1" x14ac:dyDescent="0.5"/>
    <row r="150" spans="4:8" x14ac:dyDescent="0.45">
      <c r="D150" s="16" t="s">
        <v>614</v>
      </c>
      <c r="E150" s="36">
        <v>2021.12</v>
      </c>
      <c r="F150" s="36">
        <v>2022.12</v>
      </c>
      <c r="G150" s="36">
        <v>2023.12</v>
      </c>
      <c r="H150" s="37">
        <v>2024.06</v>
      </c>
    </row>
    <row r="151" spans="4:8" x14ac:dyDescent="0.45">
      <c r="D151" s="38" t="s">
        <v>247</v>
      </c>
      <c r="E151" s="39">
        <v>165531</v>
      </c>
      <c r="F151" s="39">
        <v>141542</v>
      </c>
      <c r="G151" s="39">
        <v>140696</v>
      </c>
      <c r="H151" s="40">
        <v>145523</v>
      </c>
    </row>
    <row r="152" spans="4:8" x14ac:dyDescent="0.45">
      <c r="D152" s="41" t="s">
        <v>261</v>
      </c>
      <c r="E152" s="32">
        <v>10193</v>
      </c>
      <c r="F152" s="32">
        <v>3453</v>
      </c>
      <c r="G152" s="32">
        <v>5823</v>
      </c>
      <c r="H152" s="42">
        <v>6284</v>
      </c>
    </row>
    <row r="153" spans="4:8" x14ac:dyDescent="0.45">
      <c r="D153" s="41" t="s">
        <v>574</v>
      </c>
      <c r="E153" s="32">
        <v>142941</v>
      </c>
      <c r="F153" s="32">
        <v>123508</v>
      </c>
      <c r="G153" s="32">
        <v>118807</v>
      </c>
      <c r="H153" s="42">
        <v>124985</v>
      </c>
    </row>
    <row r="154" spans="4:8" ht="29" x14ac:dyDescent="0.45">
      <c r="D154" s="43" t="s">
        <v>575</v>
      </c>
      <c r="E154" s="32">
        <v>151348</v>
      </c>
      <c r="F154" s="32">
        <v>131670</v>
      </c>
      <c r="G154" s="32">
        <v>124576</v>
      </c>
      <c r="H154" s="42">
        <v>135187</v>
      </c>
    </row>
    <row r="155" spans="4:8" ht="43.5" x14ac:dyDescent="0.45">
      <c r="D155" s="43" t="s">
        <v>615</v>
      </c>
      <c r="E155" s="32">
        <v>-8407</v>
      </c>
      <c r="F155" s="32">
        <v>-8161</v>
      </c>
      <c r="G155" s="32">
        <v>-5769</v>
      </c>
      <c r="H155" s="42">
        <v>-10202</v>
      </c>
    </row>
    <row r="156" spans="4:8" x14ac:dyDescent="0.45">
      <c r="D156" s="41" t="s">
        <v>576</v>
      </c>
      <c r="E156" s="32">
        <v>12397</v>
      </c>
      <c r="F156" s="32">
        <v>14581</v>
      </c>
      <c r="G156" s="32">
        <v>16066</v>
      </c>
      <c r="H156" s="42">
        <v>14255</v>
      </c>
    </row>
    <row r="157" spans="4:8" x14ac:dyDescent="0.45">
      <c r="D157" s="44" t="s">
        <v>251</v>
      </c>
      <c r="E157" s="45">
        <v>130980</v>
      </c>
      <c r="F157" s="45">
        <v>100804</v>
      </c>
      <c r="G157" s="45">
        <v>100234</v>
      </c>
      <c r="H157" s="46">
        <v>107719</v>
      </c>
    </row>
    <row r="158" spans="4:8" x14ac:dyDescent="0.45">
      <c r="D158" s="41" t="s">
        <v>616</v>
      </c>
      <c r="E158" s="32">
        <v>127392</v>
      </c>
      <c r="F158" s="32">
        <v>96459</v>
      </c>
      <c r="G158" s="32">
        <v>97087</v>
      </c>
      <c r="H158" s="42">
        <v>104805</v>
      </c>
    </row>
    <row r="159" spans="4:8" x14ac:dyDescent="0.45">
      <c r="D159" s="41" t="s">
        <v>577</v>
      </c>
      <c r="E159" s="32">
        <v>3588</v>
      </c>
      <c r="F159" s="32">
        <v>4345</v>
      </c>
      <c r="G159" s="32">
        <v>3147</v>
      </c>
      <c r="H159" s="42">
        <v>2913</v>
      </c>
    </row>
    <row r="160" spans="4:8" x14ac:dyDescent="0.45">
      <c r="D160" s="38" t="s">
        <v>254</v>
      </c>
      <c r="E160" s="39">
        <v>34552</v>
      </c>
      <c r="F160" s="39">
        <v>40738</v>
      </c>
      <c r="G160" s="39">
        <v>40462</v>
      </c>
      <c r="H160" s="40">
        <v>37805</v>
      </c>
    </row>
    <row r="161" spans="4:8" x14ac:dyDescent="0.45">
      <c r="D161" s="41" t="s">
        <v>258</v>
      </c>
      <c r="E161" s="32">
        <v>1000</v>
      </c>
      <c r="F161" s="32">
        <v>1000</v>
      </c>
      <c r="G161" s="32">
        <v>1000</v>
      </c>
      <c r="H161" s="42">
        <v>1000</v>
      </c>
    </row>
    <row r="162" spans="4:8" ht="29.5" thickBot="1" x14ac:dyDescent="0.5">
      <c r="D162" s="47" t="s">
        <v>617</v>
      </c>
      <c r="E162" s="48">
        <v>33522</v>
      </c>
      <c r="F162" s="48">
        <v>39738</v>
      </c>
      <c r="G162" s="48">
        <v>39462</v>
      </c>
      <c r="H162" s="49">
        <v>36805</v>
      </c>
    </row>
    <row r="163" spans="4:8" ht="17.5" thickTop="1" x14ac:dyDescent="0.45">
      <c r="D163" s="38" t="s">
        <v>618</v>
      </c>
      <c r="E163" s="39">
        <v>32837</v>
      </c>
      <c r="F163" s="39">
        <v>31793</v>
      </c>
      <c r="G163" s="39">
        <v>24709</v>
      </c>
      <c r="H163" s="40">
        <v>10841</v>
      </c>
    </row>
    <row r="164" spans="4:8" ht="29" x14ac:dyDescent="0.45">
      <c r="D164" s="41" t="s">
        <v>619</v>
      </c>
      <c r="E164" s="32">
        <v>29743</v>
      </c>
      <c r="F164" s="32">
        <v>29324</v>
      </c>
      <c r="G164" s="32">
        <v>22704</v>
      </c>
      <c r="H164" s="42">
        <v>10841</v>
      </c>
    </row>
    <row r="165" spans="4:8" ht="29" x14ac:dyDescent="0.45">
      <c r="D165" s="41" t="s">
        <v>620</v>
      </c>
      <c r="E165" s="32">
        <v>1565</v>
      </c>
      <c r="F165" s="32">
        <v>1756</v>
      </c>
      <c r="G165" s="32">
        <v>1965</v>
      </c>
      <c r="H165" s="50" t="s">
        <v>15</v>
      </c>
    </row>
    <row r="166" spans="4:8" x14ac:dyDescent="0.45">
      <c r="D166" s="41" t="s">
        <v>621</v>
      </c>
      <c r="E166" s="32">
        <v>1529</v>
      </c>
      <c r="F166" s="51">
        <v>713</v>
      </c>
      <c r="G166" s="51">
        <v>41</v>
      </c>
      <c r="H166" s="50" t="s">
        <v>15</v>
      </c>
    </row>
    <row r="167" spans="4:8" x14ac:dyDescent="0.45">
      <c r="D167" s="38" t="s">
        <v>622</v>
      </c>
      <c r="E167" s="39">
        <v>21727</v>
      </c>
      <c r="F167" s="39">
        <v>24214</v>
      </c>
      <c r="G167" s="39">
        <v>23515</v>
      </c>
      <c r="H167" s="40">
        <v>12500</v>
      </c>
    </row>
    <row r="168" spans="4:8" x14ac:dyDescent="0.45">
      <c r="D168" s="52" t="s">
        <v>280</v>
      </c>
      <c r="E168" s="32">
        <v>7153</v>
      </c>
      <c r="F168" s="32">
        <v>7321</v>
      </c>
      <c r="G168" s="32">
        <v>7221</v>
      </c>
      <c r="H168" s="42">
        <v>3666</v>
      </c>
    </row>
    <row r="169" spans="4:8" x14ac:dyDescent="0.45">
      <c r="D169" s="52" t="s">
        <v>623</v>
      </c>
      <c r="E169" s="32">
        <v>5294</v>
      </c>
      <c r="F169" s="32">
        <v>7391</v>
      </c>
      <c r="G169" s="32">
        <v>8951</v>
      </c>
      <c r="H169" s="42">
        <v>4515</v>
      </c>
    </row>
    <row r="170" spans="4:8" x14ac:dyDescent="0.45">
      <c r="D170" s="52" t="s">
        <v>578</v>
      </c>
      <c r="E170" s="32">
        <v>3163</v>
      </c>
      <c r="F170" s="32">
        <v>1895</v>
      </c>
      <c r="G170" s="32">
        <v>1007</v>
      </c>
      <c r="H170" s="42">
        <v>1023</v>
      </c>
    </row>
    <row r="171" spans="4:8" ht="29" x14ac:dyDescent="0.45">
      <c r="D171" s="52" t="s">
        <v>579</v>
      </c>
      <c r="E171" s="32">
        <v>6116</v>
      </c>
      <c r="F171" s="32">
        <v>7573</v>
      </c>
      <c r="G171" s="32">
        <v>6304</v>
      </c>
      <c r="H171" s="42">
        <v>3297</v>
      </c>
    </row>
    <row r="172" spans="4:8" ht="29" x14ac:dyDescent="0.45">
      <c r="D172" s="52" t="s">
        <v>624</v>
      </c>
      <c r="E172" s="51" t="s">
        <v>15</v>
      </c>
      <c r="F172" s="51">
        <v>26</v>
      </c>
      <c r="G172" s="51">
        <v>23</v>
      </c>
      <c r="H172" s="50" t="s">
        <v>15</v>
      </c>
    </row>
    <row r="173" spans="4:8" ht="29" x14ac:dyDescent="0.45">
      <c r="D173" s="52" t="s">
        <v>625</v>
      </c>
      <c r="E173" s="51" t="s">
        <v>15</v>
      </c>
      <c r="F173" s="51">
        <v>7</v>
      </c>
      <c r="G173" s="51">
        <v>8</v>
      </c>
      <c r="H173" s="50" t="s">
        <v>15</v>
      </c>
    </row>
    <row r="174" spans="4:8" x14ac:dyDescent="0.45">
      <c r="D174" s="38" t="s">
        <v>289</v>
      </c>
      <c r="E174" s="39">
        <v>11111</v>
      </c>
      <c r="F174" s="39">
        <v>7579</v>
      </c>
      <c r="G174" s="39">
        <v>1194</v>
      </c>
      <c r="H174" s="40">
        <v>-1659</v>
      </c>
    </row>
    <row r="175" spans="4:8" x14ac:dyDescent="0.45">
      <c r="D175" s="38" t="s">
        <v>626</v>
      </c>
      <c r="E175" s="53">
        <v>-4</v>
      </c>
      <c r="F175" s="39">
        <v>1588</v>
      </c>
      <c r="G175" s="53">
        <v>14</v>
      </c>
      <c r="H175" s="54">
        <v>2</v>
      </c>
    </row>
    <row r="176" spans="4:8" ht="29" x14ac:dyDescent="0.45">
      <c r="D176" s="38" t="s">
        <v>296</v>
      </c>
      <c r="E176" s="39">
        <v>11106</v>
      </c>
      <c r="F176" s="39">
        <v>9167</v>
      </c>
      <c r="G176" s="39">
        <v>1208</v>
      </c>
      <c r="H176" s="40">
        <v>-1657</v>
      </c>
    </row>
    <row r="177" spans="4:8" ht="17.5" thickBot="1" x14ac:dyDescent="0.5">
      <c r="D177" s="55" t="s">
        <v>292</v>
      </c>
      <c r="E177" s="56">
        <v>8680</v>
      </c>
      <c r="F177" s="56">
        <v>7186</v>
      </c>
      <c r="G177" s="57">
        <v>724</v>
      </c>
      <c r="H177" s="58">
        <v>-1657</v>
      </c>
    </row>
    <row r="178" spans="4:8" ht="409.5" x14ac:dyDescent="0.45">
      <c r="D178" s="109" t="s">
        <v>658</v>
      </c>
      <c r="E178" s="14"/>
      <c r="F178" s="14"/>
      <c r="G178" s="14"/>
      <c r="H178" s="14"/>
    </row>
    <row r="179" spans="4:8" x14ac:dyDescent="0.45">
      <c r="E179" s="14"/>
      <c r="F179" s="14"/>
      <c r="G179" s="14"/>
      <c r="H179" s="14"/>
    </row>
    <row r="180" spans="4:8" ht="17.5" thickBot="1" x14ac:dyDescent="0.5">
      <c r="E180" s="14"/>
      <c r="F180" s="14"/>
      <c r="G180" s="14"/>
      <c r="H180" s="14"/>
    </row>
    <row r="181" spans="4:8" x14ac:dyDescent="0.45">
      <c r="D181" s="16" t="s">
        <v>627</v>
      </c>
      <c r="E181" s="59" t="s">
        <v>628</v>
      </c>
      <c r="F181" s="59" t="s">
        <v>629</v>
      </c>
      <c r="G181" s="36">
        <v>2023.12</v>
      </c>
      <c r="H181" s="60" t="s">
        <v>5</v>
      </c>
    </row>
    <row r="182" spans="4:8" ht="43.5" x14ac:dyDescent="0.45">
      <c r="D182" s="19" t="s">
        <v>301</v>
      </c>
      <c r="E182" s="33">
        <v>0.21690000000000001</v>
      </c>
      <c r="F182" s="33">
        <v>-0.1449</v>
      </c>
      <c r="G182" s="33">
        <v>-6.0000000000000001E-3</v>
      </c>
      <c r="H182" s="61" t="s">
        <v>630</v>
      </c>
    </row>
    <row r="183" spans="4:8" ht="58" x14ac:dyDescent="0.45">
      <c r="D183" s="19" t="s">
        <v>306</v>
      </c>
      <c r="E183" s="33">
        <v>0.186</v>
      </c>
      <c r="F183" s="33">
        <v>-0.13600000000000001</v>
      </c>
      <c r="G183" s="33">
        <v>-3.8100000000000002E-2</v>
      </c>
      <c r="H183" s="61" t="s">
        <v>631</v>
      </c>
    </row>
    <row r="184" spans="4:8" ht="29" x14ac:dyDescent="0.45">
      <c r="D184" s="19" t="s">
        <v>632</v>
      </c>
      <c r="E184" s="33">
        <v>0.2087</v>
      </c>
      <c r="F184" s="33">
        <v>0.2878</v>
      </c>
      <c r="G184" s="33">
        <v>0.28760000000000002</v>
      </c>
      <c r="H184" s="61" t="s">
        <v>311</v>
      </c>
    </row>
    <row r="185" spans="4:8" ht="43.5" x14ac:dyDescent="0.45">
      <c r="D185" s="19" t="s">
        <v>315</v>
      </c>
      <c r="E185" s="33">
        <v>6.7100000000000007E-2</v>
      </c>
      <c r="F185" s="33">
        <v>6.4799999999999996E-2</v>
      </c>
      <c r="G185" s="33">
        <v>8.6E-3</v>
      </c>
      <c r="H185" s="61" t="s">
        <v>316</v>
      </c>
    </row>
    <row r="186" spans="4:8" ht="29" x14ac:dyDescent="0.45">
      <c r="D186" s="62" t="s">
        <v>633</v>
      </c>
      <c r="E186" s="63">
        <v>5.2400000000000002E-2</v>
      </c>
      <c r="F186" s="63">
        <v>5.0799999999999998E-2</v>
      </c>
      <c r="G186" s="63">
        <v>5.1000000000000004E-3</v>
      </c>
      <c r="H186" s="64" t="s">
        <v>321</v>
      </c>
    </row>
    <row r="187" spans="4:8" ht="29" x14ac:dyDescent="0.45">
      <c r="D187" s="62" t="s">
        <v>634</v>
      </c>
      <c r="E187" s="63">
        <v>0.25119999999999998</v>
      </c>
      <c r="F187" s="63">
        <v>0.1764</v>
      </c>
      <c r="G187" s="63">
        <v>1.7899999999999999E-2</v>
      </c>
      <c r="H187" s="64" t="s">
        <v>325</v>
      </c>
    </row>
    <row r="188" spans="4:8" ht="29" x14ac:dyDescent="0.45">
      <c r="D188" s="19" t="s">
        <v>635</v>
      </c>
      <c r="E188" s="33">
        <v>0.33839999999999998</v>
      </c>
      <c r="F188" s="33">
        <v>0.2384</v>
      </c>
      <c r="G188" s="33">
        <v>4.8300000000000003E-2</v>
      </c>
      <c r="H188" s="61" t="s">
        <v>330</v>
      </c>
    </row>
    <row r="189" spans="4:8" ht="29" x14ac:dyDescent="0.45">
      <c r="D189" s="19" t="s">
        <v>636</v>
      </c>
      <c r="E189" s="33">
        <v>0.26429999999999998</v>
      </c>
      <c r="F189" s="33">
        <v>0.22600000000000001</v>
      </c>
      <c r="G189" s="33">
        <v>2.93E-2</v>
      </c>
      <c r="H189" s="61" t="s">
        <v>335</v>
      </c>
    </row>
    <row r="190" spans="4:8" ht="43.5" x14ac:dyDescent="0.45">
      <c r="D190" s="62" t="s">
        <v>338</v>
      </c>
      <c r="E190" s="65">
        <v>140644</v>
      </c>
      <c r="F190" s="65">
        <v>141509</v>
      </c>
      <c r="G190" s="65">
        <v>128123</v>
      </c>
      <c r="H190" s="64" t="s">
        <v>637</v>
      </c>
    </row>
    <row r="191" spans="4:8" ht="43.5" x14ac:dyDescent="0.45">
      <c r="D191" s="62" t="s">
        <v>342</v>
      </c>
      <c r="E191" s="63">
        <v>0.21</v>
      </c>
      <c r="F191" s="63">
        <v>0.20580000000000001</v>
      </c>
      <c r="G191" s="63">
        <v>0.17610000000000001</v>
      </c>
      <c r="H191" s="64" t="s">
        <v>343</v>
      </c>
    </row>
    <row r="192" spans="4:8" ht="43.5" x14ac:dyDescent="0.45">
      <c r="D192" s="62" t="s">
        <v>347</v>
      </c>
      <c r="E192" s="63">
        <v>5.0900000000000001E-2</v>
      </c>
      <c r="F192" s="63">
        <v>5.1700000000000003E-2</v>
      </c>
      <c r="G192" s="63">
        <v>5.6399999999999999E-2</v>
      </c>
      <c r="H192" s="64" t="s">
        <v>348</v>
      </c>
    </row>
    <row r="193" spans="4:16" ht="43.5" x14ac:dyDescent="0.45">
      <c r="D193" s="62" t="s">
        <v>352</v>
      </c>
      <c r="E193" s="63">
        <v>3.7600000000000001E-2</v>
      </c>
      <c r="F193" s="63">
        <v>5.2200000000000003E-2</v>
      </c>
      <c r="G193" s="63">
        <v>6.9900000000000004E-2</v>
      </c>
      <c r="H193" s="64" t="s">
        <v>353</v>
      </c>
    </row>
    <row r="194" spans="4:16" ht="43.5" x14ac:dyDescent="0.45">
      <c r="D194" s="62" t="s">
        <v>357</v>
      </c>
      <c r="E194" s="63">
        <v>2.2499999999999999E-2</v>
      </c>
      <c r="F194" s="63">
        <v>1.34E-2</v>
      </c>
      <c r="G194" s="63">
        <v>7.9000000000000008E-3</v>
      </c>
      <c r="H194" s="64" t="s">
        <v>358</v>
      </c>
    </row>
    <row r="195" spans="4:16" ht="44" thickBot="1" x14ac:dyDescent="0.5">
      <c r="D195" s="66" t="s">
        <v>638</v>
      </c>
      <c r="E195" s="67">
        <v>4.3499999999999997E-2</v>
      </c>
      <c r="F195" s="67">
        <v>5.3499999999999999E-2</v>
      </c>
      <c r="G195" s="67">
        <v>4.9200000000000001E-2</v>
      </c>
      <c r="H195" s="68" t="s">
        <v>363</v>
      </c>
    </row>
    <row r="196" spans="4:16" ht="44.5" thickTop="1" thickBot="1" x14ac:dyDescent="0.5">
      <c r="D196" s="69" t="s">
        <v>639</v>
      </c>
      <c r="E196" s="70">
        <v>5.5500000000000001E-2</v>
      </c>
      <c r="F196" s="70">
        <v>3.5000000000000003E-2</v>
      </c>
      <c r="G196" s="70">
        <v>-7.1999999999999998E-3</v>
      </c>
      <c r="H196" s="71"/>
    </row>
    <row r="197" spans="4:16" ht="17.5" thickTop="1" x14ac:dyDescent="0.45">
      <c r="E197" s="14"/>
      <c r="F197" s="14"/>
      <c r="G197" s="14"/>
      <c r="H197" s="14"/>
    </row>
    <row r="198" spans="4:16" x14ac:dyDescent="0.45">
      <c r="E198" s="14"/>
      <c r="F198" s="14"/>
      <c r="G198" s="14"/>
      <c r="H198" s="14"/>
    </row>
    <row r="199" spans="4:16" ht="17.5" thickBot="1" x14ac:dyDescent="0.5">
      <c r="E199" s="14"/>
      <c r="F199" s="14"/>
      <c r="G199" s="14"/>
      <c r="H199" s="14"/>
    </row>
    <row r="200" spans="4:16" x14ac:dyDescent="0.45">
      <c r="D200" s="16" t="s">
        <v>33</v>
      </c>
      <c r="E200" s="17" t="s">
        <v>640</v>
      </c>
      <c r="F200" s="36" t="s">
        <v>641</v>
      </c>
      <c r="G200" s="36" t="s">
        <v>642</v>
      </c>
      <c r="H200" s="17" t="s">
        <v>571</v>
      </c>
      <c r="I200" s="60" t="s">
        <v>5</v>
      </c>
    </row>
    <row r="201" spans="4:16" ht="29.5" thickBot="1" x14ac:dyDescent="0.5">
      <c r="D201" s="72" t="s">
        <v>643</v>
      </c>
      <c r="E201" s="73" t="s">
        <v>644</v>
      </c>
      <c r="F201" s="74" t="s">
        <v>645</v>
      </c>
      <c r="G201" s="75" t="s">
        <v>646</v>
      </c>
      <c r="H201" s="73" t="s">
        <v>647</v>
      </c>
      <c r="I201" s="76" t="s">
        <v>648</v>
      </c>
    </row>
    <row r="202" spans="4:16" ht="17.5" thickTop="1" x14ac:dyDescent="0.45"/>
    <row r="203" spans="4:16" ht="17.5" thickBot="1" x14ac:dyDescent="0.5"/>
    <row r="204" spans="4:16" x14ac:dyDescent="0.45">
      <c r="D204" s="16" t="s">
        <v>627</v>
      </c>
      <c r="E204" s="77">
        <v>23.07</v>
      </c>
      <c r="F204" s="77">
        <v>23.08</v>
      </c>
      <c r="G204" s="78">
        <v>23.09</v>
      </c>
      <c r="H204" s="77">
        <v>23.1</v>
      </c>
      <c r="I204" s="77">
        <v>23.11</v>
      </c>
      <c r="J204" s="77">
        <v>23.12</v>
      </c>
      <c r="K204" s="78">
        <v>24.01</v>
      </c>
      <c r="L204" s="77">
        <v>24.02</v>
      </c>
      <c r="M204" s="77">
        <v>24.03</v>
      </c>
      <c r="N204" s="78">
        <v>24.04</v>
      </c>
      <c r="O204" s="17">
        <v>24.05</v>
      </c>
      <c r="P204" s="79">
        <v>24.06</v>
      </c>
    </row>
    <row r="205" spans="4:16" x14ac:dyDescent="0.45">
      <c r="D205" s="19" t="s">
        <v>247</v>
      </c>
      <c r="E205" s="80">
        <v>136928</v>
      </c>
      <c r="F205" s="80">
        <v>143492</v>
      </c>
      <c r="G205" s="80">
        <v>141774</v>
      </c>
      <c r="H205" s="80">
        <v>135959</v>
      </c>
      <c r="I205" s="80">
        <v>140352</v>
      </c>
      <c r="J205" s="80">
        <v>140696</v>
      </c>
      <c r="K205" s="81">
        <v>137450</v>
      </c>
      <c r="L205" s="80">
        <v>137030</v>
      </c>
      <c r="M205" s="80">
        <v>143548</v>
      </c>
      <c r="N205" s="81">
        <v>143494</v>
      </c>
      <c r="O205" s="82">
        <v>150213</v>
      </c>
      <c r="P205" s="83">
        <v>145523</v>
      </c>
    </row>
    <row r="206" spans="4:16" x14ac:dyDescent="0.45">
      <c r="D206" s="19" t="s">
        <v>251</v>
      </c>
      <c r="E206" s="80">
        <v>97203</v>
      </c>
      <c r="F206" s="84" t="s">
        <v>649</v>
      </c>
      <c r="G206" s="80">
        <v>101902</v>
      </c>
      <c r="H206" s="80">
        <v>95674</v>
      </c>
      <c r="I206" s="80">
        <v>100041</v>
      </c>
      <c r="J206" s="80">
        <v>100234</v>
      </c>
      <c r="K206" s="81">
        <v>97225</v>
      </c>
      <c r="L206" s="80">
        <v>97695</v>
      </c>
      <c r="M206" s="80">
        <v>105405</v>
      </c>
      <c r="N206" s="81">
        <v>105507</v>
      </c>
      <c r="O206" s="82">
        <v>112293</v>
      </c>
      <c r="P206" s="83">
        <v>107719</v>
      </c>
    </row>
    <row r="207" spans="4:16" x14ac:dyDescent="0.45">
      <c r="D207" s="19" t="s">
        <v>254</v>
      </c>
      <c r="E207" s="85">
        <v>39726</v>
      </c>
      <c r="F207" s="85">
        <v>39550</v>
      </c>
      <c r="G207" s="85">
        <v>39872</v>
      </c>
      <c r="H207" s="85">
        <v>40285</v>
      </c>
      <c r="I207" s="85">
        <v>40311</v>
      </c>
      <c r="J207" s="85">
        <v>40462</v>
      </c>
      <c r="K207" s="86">
        <v>40225</v>
      </c>
      <c r="L207" s="85">
        <v>39335</v>
      </c>
      <c r="M207" s="85">
        <v>38142</v>
      </c>
      <c r="N207" s="86">
        <v>37987</v>
      </c>
      <c r="O207" s="87">
        <v>37920</v>
      </c>
      <c r="P207" s="88">
        <v>37805</v>
      </c>
    </row>
    <row r="208" spans="4:16" x14ac:dyDescent="0.45">
      <c r="D208" s="19" t="s">
        <v>650</v>
      </c>
      <c r="E208" s="85">
        <v>1000</v>
      </c>
      <c r="F208" s="85">
        <v>1000</v>
      </c>
      <c r="G208" s="85">
        <v>1000</v>
      </c>
      <c r="H208" s="85">
        <v>1000</v>
      </c>
      <c r="I208" s="85">
        <v>1000</v>
      </c>
      <c r="J208" s="85">
        <v>1000</v>
      </c>
      <c r="K208" s="85">
        <v>1000</v>
      </c>
      <c r="L208" s="85">
        <v>1000</v>
      </c>
      <c r="M208" s="85">
        <v>1000</v>
      </c>
      <c r="N208" s="85">
        <v>1000</v>
      </c>
      <c r="O208" s="87">
        <v>1000</v>
      </c>
      <c r="P208" s="88">
        <v>1000</v>
      </c>
    </row>
    <row r="209" spans="2:16" ht="29" x14ac:dyDescent="0.45">
      <c r="D209" s="89" t="s">
        <v>651</v>
      </c>
      <c r="E209" s="90">
        <v>-12</v>
      </c>
      <c r="F209" s="90">
        <v>-188</v>
      </c>
      <c r="G209" s="90">
        <v>134</v>
      </c>
      <c r="H209" s="90">
        <v>547</v>
      </c>
      <c r="I209" s="90">
        <v>573</v>
      </c>
      <c r="J209" s="90">
        <v>724</v>
      </c>
      <c r="K209" s="90">
        <v>-236</v>
      </c>
      <c r="L209" s="91">
        <v>-1127</v>
      </c>
      <c r="M209" s="91">
        <v>-1320</v>
      </c>
      <c r="N209" s="92">
        <v>-1475</v>
      </c>
      <c r="O209" s="93">
        <v>-1542</v>
      </c>
      <c r="P209" s="94">
        <v>-1657</v>
      </c>
    </row>
    <row r="210" spans="2:16" ht="29" x14ac:dyDescent="0.45">
      <c r="D210" s="19" t="s">
        <v>652</v>
      </c>
      <c r="E210" s="95">
        <v>629</v>
      </c>
      <c r="F210" s="95">
        <v>776</v>
      </c>
      <c r="G210" s="95">
        <v>505</v>
      </c>
      <c r="H210" s="95">
        <v>458</v>
      </c>
      <c r="I210" s="95">
        <v>729</v>
      </c>
      <c r="J210" s="95">
        <v>743</v>
      </c>
      <c r="K210" s="95">
        <v>985</v>
      </c>
      <c r="L210" s="95">
        <v>977</v>
      </c>
      <c r="M210" s="85">
        <v>1113</v>
      </c>
      <c r="N210" s="85">
        <v>1198</v>
      </c>
      <c r="O210" s="87">
        <v>1132</v>
      </c>
      <c r="P210" s="88">
        <v>1015</v>
      </c>
    </row>
    <row r="211" spans="2:16" ht="29" x14ac:dyDescent="0.45">
      <c r="D211" s="19" t="s">
        <v>653</v>
      </c>
      <c r="E211" s="85">
        <v>3821</v>
      </c>
      <c r="F211" s="85">
        <v>7373</v>
      </c>
      <c r="G211" s="85">
        <v>3499</v>
      </c>
      <c r="H211" s="85">
        <v>5399</v>
      </c>
      <c r="I211" s="85">
        <v>7786</v>
      </c>
      <c r="J211" s="85">
        <v>5035</v>
      </c>
      <c r="K211" s="85">
        <v>6697</v>
      </c>
      <c r="L211" s="85">
        <v>9449</v>
      </c>
      <c r="M211" s="85">
        <v>8714</v>
      </c>
      <c r="N211" s="85">
        <v>8566</v>
      </c>
      <c r="O211" s="87">
        <v>8482</v>
      </c>
      <c r="P211" s="88">
        <v>7127</v>
      </c>
    </row>
    <row r="212" spans="2:16" x14ac:dyDescent="0.45">
      <c r="D212" s="19" t="s">
        <v>654</v>
      </c>
      <c r="E212" s="85">
        <v>16771</v>
      </c>
      <c r="F212" s="85">
        <v>16401</v>
      </c>
      <c r="G212" s="85">
        <v>16448</v>
      </c>
      <c r="H212" s="85">
        <v>15738</v>
      </c>
      <c r="I212" s="85">
        <v>15956</v>
      </c>
      <c r="J212" s="85">
        <v>15690</v>
      </c>
      <c r="K212" s="86">
        <v>16088</v>
      </c>
      <c r="L212" s="85">
        <v>16458</v>
      </c>
      <c r="M212" s="85">
        <v>16890</v>
      </c>
      <c r="N212" s="86">
        <v>17319</v>
      </c>
      <c r="O212" s="87">
        <v>17607</v>
      </c>
      <c r="P212" s="88">
        <v>17822</v>
      </c>
    </row>
    <row r="213" spans="2:16" x14ac:dyDescent="0.45">
      <c r="D213" s="89" t="s">
        <v>655</v>
      </c>
      <c r="E213" s="96">
        <v>129353</v>
      </c>
      <c r="F213" s="96">
        <v>128158</v>
      </c>
      <c r="G213" s="96">
        <v>127926</v>
      </c>
      <c r="H213" s="96">
        <v>123713</v>
      </c>
      <c r="I213" s="96">
        <v>127120</v>
      </c>
      <c r="J213" s="96">
        <v>124576</v>
      </c>
      <c r="K213" s="97">
        <v>125016</v>
      </c>
      <c r="L213" s="96">
        <v>125956</v>
      </c>
      <c r="M213" s="96">
        <v>129812</v>
      </c>
      <c r="N213" s="97">
        <v>131778</v>
      </c>
      <c r="O213" s="98">
        <v>134156</v>
      </c>
      <c r="P213" s="99">
        <v>135187</v>
      </c>
    </row>
    <row r="214" spans="2:16" ht="17.5" thickBot="1" x14ac:dyDescent="0.5">
      <c r="D214" s="72" t="s">
        <v>656</v>
      </c>
      <c r="E214" s="100">
        <v>94252</v>
      </c>
      <c r="F214" s="100">
        <v>101134</v>
      </c>
      <c r="G214" s="100">
        <v>99106</v>
      </c>
      <c r="H214" s="100">
        <v>92879</v>
      </c>
      <c r="I214" s="100">
        <v>97243</v>
      </c>
      <c r="J214" s="100">
        <v>97087</v>
      </c>
      <c r="K214" s="101">
        <v>94082</v>
      </c>
      <c r="L214" s="100">
        <v>94808</v>
      </c>
      <c r="M214" s="100">
        <v>101483</v>
      </c>
      <c r="N214" s="101">
        <v>101709</v>
      </c>
      <c r="O214" s="102">
        <v>109378</v>
      </c>
      <c r="P214" s="103">
        <v>104805</v>
      </c>
    </row>
    <row r="215" spans="2:16" ht="17.5" thickTop="1" x14ac:dyDescent="0.45"/>
    <row r="216" spans="2:16" ht="17.5" thickBot="1" x14ac:dyDescent="0.5"/>
    <row r="217" spans="2:16" x14ac:dyDescent="0.45">
      <c r="D217" s="16" t="s">
        <v>627</v>
      </c>
      <c r="E217" s="77">
        <v>23.07</v>
      </c>
      <c r="F217" s="77">
        <v>23.08</v>
      </c>
      <c r="G217" s="78">
        <v>23.09</v>
      </c>
      <c r="H217" s="78">
        <v>23.1</v>
      </c>
      <c r="I217" s="77">
        <v>23.11</v>
      </c>
      <c r="J217" s="77">
        <v>23.12</v>
      </c>
      <c r="K217" s="78">
        <v>24.01</v>
      </c>
      <c r="L217" s="78">
        <v>24.02</v>
      </c>
      <c r="M217" s="77">
        <v>24.03</v>
      </c>
      <c r="N217" s="77">
        <v>24.04</v>
      </c>
      <c r="O217" s="78">
        <v>24.05</v>
      </c>
      <c r="P217" s="104">
        <v>24.06</v>
      </c>
    </row>
    <row r="218" spans="2:16" x14ac:dyDescent="0.45">
      <c r="D218" s="19" t="s">
        <v>247</v>
      </c>
      <c r="E218" s="85">
        <v>136928</v>
      </c>
      <c r="F218" s="85">
        <v>143492</v>
      </c>
      <c r="G218" s="85">
        <v>141774</v>
      </c>
      <c r="H218" s="86">
        <v>135959</v>
      </c>
      <c r="I218" s="85">
        <v>140352</v>
      </c>
      <c r="J218" s="85">
        <v>140696</v>
      </c>
      <c r="K218" s="85">
        <v>137450</v>
      </c>
      <c r="L218" s="85">
        <v>137030</v>
      </c>
      <c r="M218" s="85">
        <v>143548</v>
      </c>
      <c r="N218" s="85">
        <v>143494</v>
      </c>
      <c r="O218" s="85">
        <v>150213</v>
      </c>
      <c r="P218" s="105">
        <v>145523</v>
      </c>
    </row>
    <row r="219" spans="2:16" x14ac:dyDescent="0.45">
      <c r="D219" s="19" t="s">
        <v>254</v>
      </c>
      <c r="E219" s="85">
        <v>39726</v>
      </c>
      <c r="F219" s="85">
        <v>39550</v>
      </c>
      <c r="G219" s="85">
        <v>39872</v>
      </c>
      <c r="H219" s="86">
        <v>40285</v>
      </c>
      <c r="I219" s="85">
        <v>40311</v>
      </c>
      <c r="J219" s="85">
        <v>40462</v>
      </c>
      <c r="K219" s="85">
        <v>40225</v>
      </c>
      <c r="L219" s="85">
        <v>39335</v>
      </c>
      <c r="M219" s="85">
        <v>38142</v>
      </c>
      <c r="N219" s="85">
        <v>37987</v>
      </c>
      <c r="O219" s="85">
        <v>37920</v>
      </c>
      <c r="P219" s="105">
        <v>37805</v>
      </c>
    </row>
    <row r="220" spans="2:16" ht="17.5" thickBot="1" x14ac:dyDescent="0.5">
      <c r="D220" s="72" t="s">
        <v>657</v>
      </c>
      <c r="E220" s="106">
        <v>3.45</v>
      </c>
      <c r="F220" s="106">
        <v>3.63</v>
      </c>
      <c r="G220" s="106">
        <v>3.56</v>
      </c>
      <c r="H220" s="107">
        <v>3.37</v>
      </c>
      <c r="I220" s="106">
        <v>3.48</v>
      </c>
      <c r="J220" s="106">
        <v>3.48</v>
      </c>
      <c r="K220" s="106">
        <v>3.42</v>
      </c>
      <c r="L220" s="106">
        <v>3.48</v>
      </c>
      <c r="M220" s="106">
        <v>3.76</v>
      </c>
      <c r="N220" s="106">
        <v>3.78</v>
      </c>
      <c r="O220" s="106">
        <v>3.96</v>
      </c>
      <c r="P220" s="108">
        <v>3.85</v>
      </c>
    </row>
    <row r="221" spans="2:16" ht="17.5" thickTop="1" x14ac:dyDescent="0.45"/>
    <row r="223" spans="2:16" x14ac:dyDescent="0.45">
      <c r="B223">
        <v>6</v>
      </c>
      <c r="D223" s="110" t="s">
        <v>659</v>
      </c>
    </row>
    <row r="224" spans="2:16" x14ac:dyDescent="0.45">
      <c r="D224" s="110" t="s">
        <v>660</v>
      </c>
    </row>
    <row r="227" spans="4:11" ht="17.5" thickBot="1" x14ac:dyDescent="0.5">
      <c r="D227" s="111" t="s">
        <v>661</v>
      </c>
    </row>
    <row r="228" spans="4:11" x14ac:dyDescent="0.45">
      <c r="D228" s="112" t="s">
        <v>662</v>
      </c>
      <c r="E228" s="113" t="s">
        <v>378</v>
      </c>
      <c r="F228" s="113" t="s">
        <v>380</v>
      </c>
      <c r="G228" s="113" t="s">
        <v>410</v>
      </c>
      <c r="H228" s="114" t="s">
        <v>385</v>
      </c>
      <c r="I228" s="114" t="s">
        <v>387</v>
      </c>
      <c r="J228" s="114" t="s">
        <v>72</v>
      </c>
      <c r="K228" s="115" t="s">
        <v>663</v>
      </c>
    </row>
    <row r="229" spans="4:11" ht="26" x14ac:dyDescent="0.45">
      <c r="D229" s="116" t="s">
        <v>664</v>
      </c>
      <c r="E229" s="117">
        <v>14125</v>
      </c>
      <c r="F229" s="117">
        <v>14090</v>
      </c>
      <c r="G229" s="118">
        <v>4.8599999999999997E-2</v>
      </c>
      <c r="H229" s="119">
        <v>45422</v>
      </c>
      <c r="I229" s="119">
        <v>46141</v>
      </c>
      <c r="J229" s="120" t="s">
        <v>665</v>
      </c>
      <c r="K229" s="121" t="s">
        <v>666</v>
      </c>
    </row>
    <row r="230" spans="4:11" ht="26" x14ac:dyDescent="0.45">
      <c r="D230" s="116" t="s">
        <v>667</v>
      </c>
      <c r="E230" s="122">
        <v>500</v>
      </c>
      <c r="F230" s="122">
        <v>500</v>
      </c>
      <c r="G230" s="123" t="s">
        <v>668</v>
      </c>
      <c r="H230" s="119">
        <v>45189</v>
      </c>
      <c r="I230" s="119">
        <v>45555</v>
      </c>
      <c r="J230" s="120" t="s">
        <v>669</v>
      </c>
      <c r="K230" s="121" t="s">
        <v>670</v>
      </c>
    </row>
    <row r="231" spans="4:11" x14ac:dyDescent="0.45">
      <c r="D231" s="116" t="s">
        <v>671</v>
      </c>
      <c r="E231" s="117">
        <v>3000</v>
      </c>
      <c r="F231" s="117">
        <v>2500</v>
      </c>
      <c r="G231" s="118">
        <v>6.2199999999999998E-2</v>
      </c>
      <c r="H231" s="119">
        <v>45236</v>
      </c>
      <c r="I231" s="119">
        <v>46332</v>
      </c>
      <c r="J231" s="120" t="s">
        <v>665</v>
      </c>
      <c r="K231" s="121" t="s">
        <v>670</v>
      </c>
    </row>
    <row r="232" spans="4:11" x14ac:dyDescent="0.45">
      <c r="D232" s="124" t="s">
        <v>672</v>
      </c>
      <c r="E232" s="125">
        <v>17625</v>
      </c>
      <c r="F232" s="125">
        <v>17090</v>
      </c>
      <c r="G232" s="126">
        <v>5.1299999999999998E-2</v>
      </c>
      <c r="H232" s="127"/>
      <c r="I232" s="127"/>
      <c r="J232" s="127"/>
      <c r="K232" s="128"/>
    </row>
    <row r="233" spans="4:11" ht="26" x14ac:dyDescent="0.45">
      <c r="D233" s="116" t="s">
        <v>673</v>
      </c>
      <c r="E233" s="117">
        <v>5000</v>
      </c>
      <c r="F233" s="122">
        <v>833</v>
      </c>
      <c r="G233" s="118">
        <v>0.09</v>
      </c>
      <c r="H233" s="119">
        <v>44855</v>
      </c>
      <c r="I233" s="119">
        <v>45586</v>
      </c>
      <c r="J233" s="120" t="s">
        <v>665</v>
      </c>
      <c r="K233" s="121" t="s">
        <v>674</v>
      </c>
    </row>
    <row r="234" spans="4:11" ht="39" x14ac:dyDescent="0.45">
      <c r="D234" s="116" t="s">
        <v>675</v>
      </c>
      <c r="E234" s="117">
        <v>2500</v>
      </c>
      <c r="F234" s="117">
        <v>2209</v>
      </c>
      <c r="G234" s="118">
        <v>8.2000000000000003E-2</v>
      </c>
      <c r="H234" s="119">
        <v>45359</v>
      </c>
      <c r="I234" s="119">
        <v>46089</v>
      </c>
      <c r="J234" s="120" t="s">
        <v>676</v>
      </c>
      <c r="K234" s="121" t="s">
        <v>674</v>
      </c>
    </row>
    <row r="235" spans="4:11" ht="26" x14ac:dyDescent="0.45">
      <c r="D235" s="124" t="s">
        <v>677</v>
      </c>
      <c r="E235" s="125">
        <v>7500</v>
      </c>
      <c r="F235" s="125">
        <v>3042</v>
      </c>
      <c r="G235" s="126">
        <v>8.4199999999999997E-2</v>
      </c>
      <c r="H235" s="127"/>
      <c r="I235" s="127"/>
      <c r="J235" s="127"/>
      <c r="K235" s="128"/>
    </row>
    <row r="236" spans="4:11" x14ac:dyDescent="0.45">
      <c r="D236" s="138" t="s">
        <v>678</v>
      </c>
      <c r="E236" s="117">
        <v>1000</v>
      </c>
      <c r="F236" s="122">
        <v>111</v>
      </c>
      <c r="G236" s="118">
        <v>9.5000000000000001E-2</v>
      </c>
      <c r="H236" s="119">
        <v>44979</v>
      </c>
      <c r="I236" s="119">
        <v>45526</v>
      </c>
      <c r="J236" s="120" t="s">
        <v>665</v>
      </c>
      <c r="K236" s="121" t="s">
        <v>670</v>
      </c>
    </row>
    <row r="237" spans="4:11" x14ac:dyDescent="0.45">
      <c r="D237" s="139"/>
      <c r="E237" s="117">
        <v>1000</v>
      </c>
      <c r="F237" s="122">
        <v>389</v>
      </c>
      <c r="G237" s="118">
        <v>8.5000000000000006E-2</v>
      </c>
      <c r="H237" s="119">
        <v>45119</v>
      </c>
      <c r="I237" s="119">
        <v>45669</v>
      </c>
      <c r="J237" s="120" t="s">
        <v>665</v>
      </c>
      <c r="K237" s="121" t="s">
        <v>670</v>
      </c>
    </row>
    <row r="238" spans="4:11" ht="26" x14ac:dyDescent="0.45">
      <c r="D238" s="116" t="s">
        <v>679</v>
      </c>
      <c r="E238" s="117">
        <v>2000</v>
      </c>
      <c r="F238" s="117">
        <v>2000</v>
      </c>
      <c r="G238" s="118">
        <v>7.8E-2</v>
      </c>
      <c r="H238" s="119">
        <v>45470</v>
      </c>
      <c r="I238" s="119">
        <v>46080</v>
      </c>
      <c r="J238" s="120" t="s">
        <v>676</v>
      </c>
      <c r="K238" s="121" t="s">
        <v>680</v>
      </c>
    </row>
    <row r="239" spans="4:11" ht="26" x14ac:dyDescent="0.45">
      <c r="D239" s="124" t="s">
        <v>681</v>
      </c>
      <c r="E239" s="125">
        <v>4000</v>
      </c>
      <c r="F239" s="125">
        <v>2500</v>
      </c>
      <c r="G239" s="126">
        <v>7.9799999999999996E-2</v>
      </c>
      <c r="H239" s="129" t="s">
        <v>15</v>
      </c>
      <c r="I239" s="127"/>
      <c r="J239" s="129" t="s">
        <v>15</v>
      </c>
      <c r="K239" s="130" t="s">
        <v>15</v>
      </c>
    </row>
    <row r="240" spans="4:11" x14ac:dyDescent="0.45">
      <c r="D240" s="141" t="s">
        <v>682</v>
      </c>
      <c r="E240" s="122">
        <v>263</v>
      </c>
      <c r="F240" s="122">
        <v>173</v>
      </c>
      <c r="G240" s="118">
        <v>8.6999999999999994E-2</v>
      </c>
      <c r="H240" s="119">
        <v>45018</v>
      </c>
      <c r="I240" s="119">
        <v>45749</v>
      </c>
      <c r="J240" s="120" t="s">
        <v>669</v>
      </c>
      <c r="K240" s="121" t="s">
        <v>674</v>
      </c>
    </row>
    <row r="241" spans="4:11" x14ac:dyDescent="0.45">
      <c r="D241" s="140"/>
      <c r="E241" s="122">
        <v>587</v>
      </c>
      <c r="F241" s="122">
        <v>449</v>
      </c>
      <c r="G241" s="118">
        <v>8.3000000000000004E-2</v>
      </c>
      <c r="H241" s="119">
        <v>44987</v>
      </c>
      <c r="I241" s="119">
        <v>45598</v>
      </c>
      <c r="J241" s="120" t="s">
        <v>669</v>
      </c>
      <c r="K241" s="121" t="s">
        <v>674</v>
      </c>
    </row>
    <row r="242" spans="4:11" x14ac:dyDescent="0.45">
      <c r="D242" s="142"/>
      <c r="E242" s="117">
        <v>2000</v>
      </c>
      <c r="F242" s="117">
        <v>2000</v>
      </c>
      <c r="G242" s="118">
        <v>7.5999999999999998E-2</v>
      </c>
      <c r="H242" s="119">
        <v>45467</v>
      </c>
      <c r="I242" s="119">
        <v>46015</v>
      </c>
      <c r="J242" s="120" t="s">
        <v>676</v>
      </c>
      <c r="K242" s="121" t="s">
        <v>680</v>
      </c>
    </row>
    <row r="243" spans="4:11" x14ac:dyDescent="0.45">
      <c r="D243" s="124" t="s">
        <v>683</v>
      </c>
      <c r="E243" s="125">
        <v>2850</v>
      </c>
      <c r="F243" s="125">
        <v>2622</v>
      </c>
      <c r="G243" s="126">
        <v>7.7600000000000002E-2</v>
      </c>
      <c r="H243" s="127"/>
      <c r="I243" s="127"/>
      <c r="J243" s="127"/>
      <c r="K243" s="128"/>
    </row>
    <row r="244" spans="4:11" ht="26" x14ac:dyDescent="0.45">
      <c r="D244" s="131" t="s">
        <v>684</v>
      </c>
      <c r="E244" s="143">
        <v>18386</v>
      </c>
      <c r="F244" s="143">
        <v>18186</v>
      </c>
      <c r="G244" s="145" t="s">
        <v>686</v>
      </c>
      <c r="H244" s="147" t="s">
        <v>15</v>
      </c>
      <c r="I244" s="147" t="s">
        <v>15</v>
      </c>
      <c r="J244" s="147" t="s">
        <v>669</v>
      </c>
      <c r="K244" s="149" t="s">
        <v>670</v>
      </c>
    </row>
    <row r="245" spans="4:11" ht="26" x14ac:dyDescent="0.45">
      <c r="D245" s="132" t="s">
        <v>685</v>
      </c>
      <c r="E245" s="144"/>
      <c r="F245" s="144"/>
      <c r="G245" s="146"/>
      <c r="H245" s="148"/>
      <c r="I245" s="148"/>
      <c r="J245" s="148"/>
      <c r="K245" s="150"/>
    </row>
    <row r="246" spans="4:11" ht="17.5" thickBot="1" x14ac:dyDescent="0.5">
      <c r="D246" s="133" t="s">
        <v>687</v>
      </c>
      <c r="E246" s="134">
        <v>50361</v>
      </c>
      <c r="F246" s="134">
        <v>43440</v>
      </c>
      <c r="G246" s="135">
        <v>7.3499999999999996E-2</v>
      </c>
      <c r="H246" s="136"/>
      <c r="I246" s="136"/>
      <c r="J246" s="136"/>
      <c r="K246" s="137"/>
    </row>
    <row r="249" spans="4:11" ht="17.5" thickBot="1" x14ac:dyDescent="0.5">
      <c r="D249" s="151" t="s">
        <v>688</v>
      </c>
    </row>
    <row r="250" spans="4:11" x14ac:dyDescent="0.45">
      <c r="D250" s="16" t="s">
        <v>627</v>
      </c>
      <c r="E250" s="17" t="s">
        <v>380</v>
      </c>
      <c r="F250" s="18" t="s">
        <v>689</v>
      </c>
    </row>
    <row r="251" spans="4:11" x14ac:dyDescent="0.45">
      <c r="D251" s="19" t="s">
        <v>690</v>
      </c>
      <c r="E251" s="32">
        <v>17090</v>
      </c>
      <c r="F251" s="152">
        <v>0.39300000000000002</v>
      </c>
    </row>
    <row r="252" spans="4:11" x14ac:dyDescent="0.45">
      <c r="D252" s="19" t="s">
        <v>691</v>
      </c>
      <c r="E252" s="32">
        <v>2622</v>
      </c>
      <c r="F252" s="152">
        <v>0.06</v>
      </c>
    </row>
    <row r="253" spans="4:11" x14ac:dyDescent="0.45">
      <c r="D253" s="19" t="s">
        <v>692</v>
      </c>
      <c r="E253" s="32">
        <v>2500</v>
      </c>
      <c r="F253" s="152">
        <v>5.8000000000000003E-2</v>
      </c>
    </row>
    <row r="254" spans="4:11" x14ac:dyDescent="0.45">
      <c r="D254" s="19" t="s">
        <v>693</v>
      </c>
      <c r="E254" s="32">
        <v>3042</v>
      </c>
      <c r="F254" s="152">
        <v>7.0000000000000007E-2</v>
      </c>
    </row>
    <row r="255" spans="4:11" x14ac:dyDescent="0.45">
      <c r="D255" s="19" t="s">
        <v>694</v>
      </c>
      <c r="E255" s="32">
        <v>18186</v>
      </c>
      <c r="F255" s="152">
        <v>0.41899999999999998</v>
      </c>
    </row>
    <row r="256" spans="4:11" ht="17.5" thickBot="1" x14ac:dyDescent="0.5">
      <c r="D256" s="23" t="s">
        <v>613</v>
      </c>
      <c r="E256" s="34">
        <v>43440</v>
      </c>
      <c r="F256" s="153">
        <v>1</v>
      </c>
    </row>
    <row r="259" spans="4:12" ht="17.5" thickBot="1" x14ac:dyDescent="0.5">
      <c r="D259" s="111" t="s">
        <v>695</v>
      </c>
      <c r="I259" s="151" t="s">
        <v>696</v>
      </c>
    </row>
    <row r="260" spans="4:12" x14ac:dyDescent="0.45">
      <c r="D260" s="154" t="s">
        <v>662</v>
      </c>
      <c r="E260" s="155" t="s">
        <v>533</v>
      </c>
      <c r="F260" s="156" t="s">
        <v>378</v>
      </c>
      <c r="G260" s="156" t="s">
        <v>380</v>
      </c>
      <c r="H260" s="156" t="s">
        <v>410</v>
      </c>
      <c r="I260" s="155" t="s">
        <v>385</v>
      </c>
      <c r="J260" s="155" t="s">
        <v>387</v>
      </c>
      <c r="K260" s="155" t="s">
        <v>72</v>
      </c>
      <c r="L260" s="157" t="s">
        <v>663</v>
      </c>
    </row>
    <row r="261" spans="4:12" x14ac:dyDescent="0.45">
      <c r="D261" s="158" t="s">
        <v>697</v>
      </c>
      <c r="E261" s="159" t="s">
        <v>698</v>
      </c>
      <c r="F261" s="95">
        <v>500</v>
      </c>
      <c r="G261" s="95">
        <v>500</v>
      </c>
      <c r="H261" s="160">
        <v>6.4000000000000001E-2</v>
      </c>
      <c r="I261" s="161">
        <v>44833</v>
      </c>
      <c r="J261" s="161">
        <v>45564</v>
      </c>
      <c r="K261" s="159" t="s">
        <v>669</v>
      </c>
      <c r="L261" s="162" t="s">
        <v>670</v>
      </c>
    </row>
    <row r="262" spans="4:12" x14ac:dyDescent="0.45">
      <c r="D262" s="158" t="s">
        <v>699</v>
      </c>
      <c r="E262" s="159" t="s">
        <v>698</v>
      </c>
      <c r="F262" s="85">
        <v>2000</v>
      </c>
      <c r="G262" s="85">
        <v>1833</v>
      </c>
      <c r="H262" s="160">
        <v>6.8000000000000005E-2</v>
      </c>
      <c r="I262" s="161">
        <v>45421</v>
      </c>
      <c r="J262" s="161">
        <v>45786</v>
      </c>
      <c r="K262" s="159" t="s">
        <v>665</v>
      </c>
      <c r="L262" s="162" t="s">
        <v>670</v>
      </c>
    </row>
    <row r="263" spans="4:12" x14ac:dyDescent="0.45">
      <c r="D263" s="158" t="s">
        <v>700</v>
      </c>
      <c r="E263" s="159" t="s">
        <v>698</v>
      </c>
      <c r="F263" s="85">
        <v>2000</v>
      </c>
      <c r="G263" s="85">
        <v>2000</v>
      </c>
      <c r="H263" s="160">
        <v>6.7000000000000004E-2</v>
      </c>
      <c r="I263" s="161">
        <v>45442</v>
      </c>
      <c r="J263" s="161">
        <v>45807</v>
      </c>
      <c r="K263" s="159" t="s">
        <v>665</v>
      </c>
      <c r="L263" s="162" t="s">
        <v>670</v>
      </c>
    </row>
    <row r="264" spans="4:12" x14ac:dyDescent="0.45">
      <c r="D264" s="158" t="s">
        <v>701</v>
      </c>
      <c r="E264" s="159" t="s">
        <v>698</v>
      </c>
      <c r="F264" s="85">
        <v>2000</v>
      </c>
      <c r="G264" s="85">
        <v>1250</v>
      </c>
      <c r="H264" s="160">
        <v>5.8000000000000003E-2</v>
      </c>
      <c r="I264" s="161">
        <v>45168</v>
      </c>
      <c r="J264" s="161">
        <v>45899</v>
      </c>
      <c r="K264" s="159" t="s">
        <v>665</v>
      </c>
      <c r="L264" s="162" t="s">
        <v>670</v>
      </c>
    </row>
    <row r="265" spans="4:12" x14ac:dyDescent="0.45">
      <c r="D265" s="167" t="s">
        <v>702</v>
      </c>
      <c r="E265" s="168"/>
      <c r="F265" s="85">
        <v>6500</v>
      </c>
      <c r="G265" s="85">
        <v>5583</v>
      </c>
      <c r="H265" s="160">
        <v>6.5000000000000002E-2</v>
      </c>
      <c r="I265" s="163"/>
      <c r="J265" s="163"/>
      <c r="K265" s="163"/>
      <c r="L265" s="164"/>
    </row>
    <row r="266" spans="4:12" x14ac:dyDescent="0.45">
      <c r="D266" s="158" t="s">
        <v>703</v>
      </c>
      <c r="E266" s="159" t="s">
        <v>704</v>
      </c>
      <c r="F266" s="85">
        <v>3000</v>
      </c>
      <c r="G266" s="85">
        <v>1500</v>
      </c>
      <c r="H266" s="160">
        <v>7.8E-2</v>
      </c>
      <c r="I266" s="161">
        <v>45288</v>
      </c>
      <c r="J266" s="161">
        <v>45654</v>
      </c>
      <c r="K266" s="159" t="s">
        <v>665</v>
      </c>
      <c r="L266" s="162" t="s">
        <v>680</v>
      </c>
    </row>
    <row r="267" spans="4:12" x14ac:dyDescent="0.45">
      <c r="D267" s="158" t="s">
        <v>705</v>
      </c>
      <c r="E267" s="159" t="s">
        <v>704</v>
      </c>
      <c r="F267" s="85">
        <v>5000</v>
      </c>
      <c r="G267" s="85">
        <v>1446</v>
      </c>
      <c r="H267" s="160">
        <v>7.4999999999999997E-2</v>
      </c>
      <c r="I267" s="161">
        <v>45069</v>
      </c>
      <c r="J267" s="161">
        <v>45619</v>
      </c>
      <c r="K267" s="159" t="s">
        <v>676</v>
      </c>
      <c r="L267" s="162" t="s">
        <v>680</v>
      </c>
    </row>
    <row r="268" spans="4:12" x14ac:dyDescent="0.45">
      <c r="D268" s="158" t="s">
        <v>706</v>
      </c>
      <c r="E268" s="159" t="s">
        <v>704</v>
      </c>
      <c r="F268" s="85">
        <v>5000</v>
      </c>
      <c r="G268" s="95">
        <v>840</v>
      </c>
      <c r="H268" s="160">
        <v>7.1999999999999995E-2</v>
      </c>
      <c r="I268" s="161">
        <v>45148</v>
      </c>
      <c r="J268" s="161">
        <v>45514</v>
      </c>
      <c r="K268" s="159" t="s">
        <v>665</v>
      </c>
      <c r="L268" s="162" t="s">
        <v>680</v>
      </c>
    </row>
    <row r="269" spans="4:12" x14ac:dyDescent="0.45">
      <c r="D269" s="158" t="s">
        <v>706</v>
      </c>
      <c r="E269" s="159" t="s">
        <v>704</v>
      </c>
      <c r="F269" s="85">
        <v>5000</v>
      </c>
      <c r="G269" s="85">
        <v>4584</v>
      </c>
      <c r="H269" s="160">
        <v>7.3999999999999996E-2</v>
      </c>
      <c r="I269" s="161">
        <v>45419</v>
      </c>
      <c r="J269" s="161">
        <v>45784</v>
      </c>
      <c r="K269" s="159" t="s">
        <v>665</v>
      </c>
      <c r="L269" s="162" t="s">
        <v>680</v>
      </c>
    </row>
    <row r="270" spans="4:12" x14ac:dyDescent="0.45">
      <c r="D270" s="158" t="s">
        <v>707</v>
      </c>
      <c r="E270" s="159" t="s">
        <v>704</v>
      </c>
      <c r="F270" s="85">
        <v>6000</v>
      </c>
      <c r="G270" s="85">
        <v>5000</v>
      </c>
      <c r="H270" s="160">
        <v>7.8E-2</v>
      </c>
      <c r="I270" s="161">
        <v>45343</v>
      </c>
      <c r="J270" s="161">
        <v>46074</v>
      </c>
      <c r="K270" s="159" t="s">
        <v>665</v>
      </c>
      <c r="L270" s="162" t="s">
        <v>680</v>
      </c>
    </row>
    <row r="271" spans="4:12" x14ac:dyDescent="0.45">
      <c r="D271" s="158" t="s">
        <v>708</v>
      </c>
      <c r="E271" s="159" t="s">
        <v>704</v>
      </c>
      <c r="F271" s="85">
        <v>5000</v>
      </c>
      <c r="G271" s="95">
        <v>833</v>
      </c>
      <c r="H271" s="160">
        <v>7.8E-2</v>
      </c>
      <c r="I271" s="161">
        <v>45159</v>
      </c>
      <c r="J271" s="161">
        <v>45525</v>
      </c>
      <c r="K271" s="159" t="s">
        <v>665</v>
      </c>
      <c r="L271" s="162" t="s">
        <v>680</v>
      </c>
    </row>
    <row r="272" spans="4:12" x14ac:dyDescent="0.45">
      <c r="D272" s="158" t="s">
        <v>709</v>
      </c>
      <c r="E272" s="159" t="s">
        <v>704</v>
      </c>
      <c r="F272" s="85">
        <v>3000</v>
      </c>
      <c r="G272" s="85">
        <v>1549</v>
      </c>
      <c r="H272" s="160">
        <v>7.8E-2</v>
      </c>
      <c r="I272" s="161">
        <v>45181</v>
      </c>
      <c r="J272" s="161">
        <v>45728</v>
      </c>
      <c r="K272" s="159" t="s">
        <v>676</v>
      </c>
      <c r="L272" s="162" t="s">
        <v>680</v>
      </c>
    </row>
    <row r="273" spans="4:12" x14ac:dyDescent="0.45">
      <c r="D273" s="158" t="s">
        <v>709</v>
      </c>
      <c r="E273" s="159" t="s">
        <v>704</v>
      </c>
      <c r="F273" s="85">
        <v>2000</v>
      </c>
      <c r="G273" s="85">
        <v>1359</v>
      </c>
      <c r="H273" s="160">
        <v>7.8E-2</v>
      </c>
      <c r="I273" s="161">
        <v>45280</v>
      </c>
      <c r="J273" s="161">
        <v>45828</v>
      </c>
      <c r="K273" s="159" t="s">
        <v>676</v>
      </c>
      <c r="L273" s="162" t="s">
        <v>680</v>
      </c>
    </row>
    <row r="274" spans="4:12" x14ac:dyDescent="0.45">
      <c r="D274" s="158" t="s">
        <v>709</v>
      </c>
      <c r="E274" s="159" t="s">
        <v>704</v>
      </c>
      <c r="F274" s="85">
        <v>2000</v>
      </c>
      <c r="G274" s="85">
        <v>1469</v>
      </c>
      <c r="H274" s="160">
        <v>0.08</v>
      </c>
      <c r="I274" s="161">
        <v>45308</v>
      </c>
      <c r="J274" s="161">
        <v>45855</v>
      </c>
      <c r="K274" s="159" t="s">
        <v>676</v>
      </c>
      <c r="L274" s="162" t="s">
        <v>680</v>
      </c>
    </row>
    <row r="275" spans="4:12" x14ac:dyDescent="0.45">
      <c r="D275" s="158" t="s">
        <v>709</v>
      </c>
      <c r="E275" s="159" t="s">
        <v>704</v>
      </c>
      <c r="F275" s="85">
        <v>3000</v>
      </c>
      <c r="G275" s="85">
        <v>2838</v>
      </c>
      <c r="H275" s="160">
        <v>7.8E-2</v>
      </c>
      <c r="I275" s="161">
        <v>45440</v>
      </c>
      <c r="J275" s="161">
        <v>45989</v>
      </c>
      <c r="K275" s="159" t="s">
        <v>676</v>
      </c>
      <c r="L275" s="162" t="s">
        <v>680</v>
      </c>
    </row>
    <row r="276" spans="4:12" ht="17.5" thickBot="1" x14ac:dyDescent="0.5">
      <c r="D276" s="169" t="s">
        <v>683</v>
      </c>
      <c r="E276" s="170"/>
      <c r="F276" s="85">
        <v>39000</v>
      </c>
      <c r="G276" s="85">
        <v>21418</v>
      </c>
      <c r="H276" s="160">
        <v>7.6999999999999999E-2</v>
      </c>
      <c r="I276" s="165"/>
      <c r="J276" s="165"/>
      <c r="K276" s="165"/>
      <c r="L276" s="166"/>
    </row>
    <row r="277" spans="4:12" x14ac:dyDescent="0.45">
      <c r="D277" s="158" t="s">
        <v>710</v>
      </c>
      <c r="E277" s="159" t="s">
        <v>711</v>
      </c>
      <c r="F277" s="85">
        <v>2000</v>
      </c>
      <c r="G277" s="95">
        <v>333</v>
      </c>
      <c r="H277" s="160">
        <v>8.5000000000000006E-2</v>
      </c>
      <c r="I277" s="161">
        <v>45005</v>
      </c>
      <c r="J277" s="161">
        <v>45555</v>
      </c>
      <c r="K277" s="159" t="s">
        <v>665</v>
      </c>
      <c r="L277" s="162" t="s">
        <v>680</v>
      </c>
    </row>
    <row r="278" spans="4:12" x14ac:dyDescent="0.45">
      <c r="D278" s="158" t="s">
        <v>712</v>
      </c>
      <c r="E278" s="159" t="s">
        <v>711</v>
      </c>
      <c r="F278" s="85">
        <v>1000</v>
      </c>
      <c r="G278" s="95">
        <v>111</v>
      </c>
      <c r="H278" s="160">
        <v>8.6999999999999994E-2</v>
      </c>
      <c r="I278" s="161">
        <v>44981</v>
      </c>
      <c r="J278" s="161">
        <v>45528</v>
      </c>
      <c r="K278" s="159" t="s">
        <v>665</v>
      </c>
      <c r="L278" s="162" t="s">
        <v>680</v>
      </c>
    </row>
    <row r="279" spans="4:12" x14ac:dyDescent="0.45">
      <c r="D279" s="158" t="s">
        <v>713</v>
      </c>
      <c r="E279" s="159" t="s">
        <v>711</v>
      </c>
      <c r="F279" s="85">
        <v>3000</v>
      </c>
      <c r="G279" s="85">
        <v>2667</v>
      </c>
      <c r="H279" s="160">
        <v>7.6999999999999999E-2</v>
      </c>
      <c r="I279" s="161">
        <v>45401</v>
      </c>
      <c r="J279" s="161">
        <v>45949</v>
      </c>
      <c r="K279" s="159" t="s">
        <v>665</v>
      </c>
      <c r="L279" s="162" t="s">
        <v>680</v>
      </c>
    </row>
    <row r="280" spans="4:12" x14ac:dyDescent="0.45">
      <c r="D280" s="158" t="s">
        <v>714</v>
      </c>
      <c r="E280" s="159" t="s">
        <v>711</v>
      </c>
      <c r="F280" s="85">
        <v>1000</v>
      </c>
      <c r="G280" s="95">
        <v>444</v>
      </c>
      <c r="H280" s="160">
        <v>7.8E-2</v>
      </c>
      <c r="I280" s="161">
        <v>45160</v>
      </c>
      <c r="J280" s="161">
        <v>45710</v>
      </c>
      <c r="K280" s="159" t="s">
        <v>665</v>
      </c>
      <c r="L280" s="162" t="s">
        <v>680</v>
      </c>
    </row>
    <row r="281" spans="4:12" x14ac:dyDescent="0.45">
      <c r="D281" s="158" t="s">
        <v>714</v>
      </c>
      <c r="E281" s="159" t="s">
        <v>711</v>
      </c>
      <c r="F281" s="85">
        <v>2000</v>
      </c>
      <c r="G281" s="85">
        <v>1667</v>
      </c>
      <c r="H281" s="160">
        <v>7.8E-2</v>
      </c>
      <c r="I281" s="161">
        <v>45365</v>
      </c>
      <c r="J281" s="161">
        <v>45914</v>
      </c>
      <c r="K281" s="159" t="s">
        <v>665</v>
      </c>
      <c r="L281" s="162" t="s">
        <v>680</v>
      </c>
    </row>
    <row r="282" spans="4:12" x14ac:dyDescent="0.45">
      <c r="D282" s="158" t="s">
        <v>715</v>
      </c>
      <c r="E282" s="159" t="s">
        <v>711</v>
      </c>
      <c r="F282" s="85">
        <v>3000</v>
      </c>
      <c r="G282" s="85">
        <v>1043</v>
      </c>
      <c r="H282" s="160">
        <v>8.5000000000000006E-2</v>
      </c>
      <c r="I282" s="161">
        <v>45076</v>
      </c>
      <c r="J282" s="161">
        <v>45626</v>
      </c>
      <c r="K282" s="159" t="s">
        <v>676</v>
      </c>
      <c r="L282" s="162" t="s">
        <v>670</v>
      </c>
    </row>
    <row r="283" spans="4:12" x14ac:dyDescent="0.45">
      <c r="D283" s="158" t="s">
        <v>716</v>
      </c>
      <c r="E283" s="159" t="s">
        <v>711</v>
      </c>
      <c r="F283" s="85">
        <v>2000</v>
      </c>
      <c r="G283" s="95">
        <v>444</v>
      </c>
      <c r="H283" s="160">
        <v>8.5000000000000006E-2</v>
      </c>
      <c r="I283" s="161">
        <v>45040</v>
      </c>
      <c r="J283" s="161">
        <v>45589</v>
      </c>
      <c r="K283" s="159" t="s">
        <v>665</v>
      </c>
      <c r="L283" s="162" t="s">
        <v>680</v>
      </c>
    </row>
    <row r="284" spans="4:12" x14ac:dyDescent="0.45">
      <c r="D284" s="158" t="s">
        <v>716</v>
      </c>
      <c r="E284" s="159" t="s">
        <v>711</v>
      </c>
      <c r="F284" s="85">
        <v>1000</v>
      </c>
      <c r="G284" s="95">
        <v>500</v>
      </c>
      <c r="H284" s="160">
        <v>7.4999999999999997E-2</v>
      </c>
      <c r="I284" s="161">
        <v>45194</v>
      </c>
      <c r="J284" s="161">
        <v>45741</v>
      </c>
      <c r="K284" s="159" t="s">
        <v>665</v>
      </c>
      <c r="L284" s="162" t="s">
        <v>680</v>
      </c>
    </row>
    <row r="285" spans="4:12" x14ac:dyDescent="0.45">
      <c r="D285" s="158" t="s">
        <v>716</v>
      </c>
      <c r="E285" s="159" t="s">
        <v>711</v>
      </c>
      <c r="F285" s="85">
        <v>1000</v>
      </c>
      <c r="G285" s="95">
        <v>944</v>
      </c>
      <c r="H285" s="160">
        <v>7.8E-2</v>
      </c>
      <c r="I285" s="161">
        <v>45412</v>
      </c>
      <c r="J285" s="161">
        <v>45960</v>
      </c>
      <c r="K285" s="159" t="s">
        <v>665</v>
      </c>
      <c r="L285" s="162" t="s">
        <v>680</v>
      </c>
    </row>
    <row r="286" spans="4:12" x14ac:dyDescent="0.45">
      <c r="D286" s="158" t="s">
        <v>717</v>
      </c>
      <c r="E286" s="159" t="s">
        <v>711</v>
      </c>
      <c r="F286" s="85">
        <v>1000</v>
      </c>
      <c r="G286" s="95">
        <v>757</v>
      </c>
      <c r="H286" s="160">
        <v>7.8E-2</v>
      </c>
      <c r="I286" s="161">
        <v>45372</v>
      </c>
      <c r="J286" s="161">
        <v>45737</v>
      </c>
      <c r="K286" s="159" t="s">
        <v>676</v>
      </c>
      <c r="L286" s="162" t="s">
        <v>680</v>
      </c>
    </row>
    <row r="287" spans="4:12" x14ac:dyDescent="0.45">
      <c r="D287" s="158" t="s">
        <v>718</v>
      </c>
      <c r="E287" s="159" t="s">
        <v>711</v>
      </c>
      <c r="F287" s="85">
        <v>1000</v>
      </c>
      <c r="G287" s="95">
        <v>290</v>
      </c>
      <c r="H287" s="160">
        <v>0.08</v>
      </c>
      <c r="I287" s="161">
        <v>45065</v>
      </c>
      <c r="J287" s="161">
        <v>45615</v>
      </c>
      <c r="K287" s="159" t="s">
        <v>676</v>
      </c>
      <c r="L287" s="162" t="s">
        <v>680</v>
      </c>
    </row>
    <row r="288" spans="4:12" x14ac:dyDescent="0.45">
      <c r="D288" s="158" t="s">
        <v>719</v>
      </c>
      <c r="E288" s="159" t="s">
        <v>711</v>
      </c>
      <c r="F288" s="85">
        <v>1000</v>
      </c>
      <c r="G288" s="95">
        <v>417</v>
      </c>
      <c r="H288" s="160">
        <v>8.5000000000000006E-2</v>
      </c>
      <c r="I288" s="161">
        <v>45033</v>
      </c>
      <c r="J288" s="161">
        <v>45764</v>
      </c>
      <c r="K288" s="159" t="s">
        <v>665</v>
      </c>
      <c r="L288" s="162" t="s">
        <v>680</v>
      </c>
    </row>
    <row r="289" spans="4:12" x14ac:dyDescent="0.45">
      <c r="D289" s="171" t="s">
        <v>719</v>
      </c>
      <c r="E289" s="172" t="s">
        <v>711</v>
      </c>
      <c r="F289" s="173">
        <v>1000</v>
      </c>
      <c r="G289" s="174">
        <v>800</v>
      </c>
      <c r="H289" s="175">
        <v>7.8E-2</v>
      </c>
      <c r="I289" s="176">
        <v>45343</v>
      </c>
      <c r="J289" s="176">
        <v>45951</v>
      </c>
      <c r="K289" s="172" t="s">
        <v>665</v>
      </c>
      <c r="L289" s="177" t="s">
        <v>680</v>
      </c>
    </row>
    <row r="290" spans="4:12" x14ac:dyDescent="0.45">
      <c r="D290" s="158" t="s">
        <v>720</v>
      </c>
      <c r="E290" s="159" t="s">
        <v>711</v>
      </c>
      <c r="F290" s="85">
        <v>2000</v>
      </c>
      <c r="G290" s="95">
        <v>790</v>
      </c>
      <c r="H290" s="160">
        <v>0.08</v>
      </c>
      <c r="I290" s="161">
        <v>45110</v>
      </c>
      <c r="J290" s="161">
        <v>45660</v>
      </c>
      <c r="K290" s="159" t="s">
        <v>669</v>
      </c>
      <c r="L290" s="162" t="s">
        <v>670</v>
      </c>
    </row>
    <row r="291" spans="4:12" x14ac:dyDescent="0.45">
      <c r="D291" s="158" t="s">
        <v>721</v>
      </c>
      <c r="E291" s="159" t="s">
        <v>711</v>
      </c>
      <c r="F291" s="85">
        <v>1500</v>
      </c>
      <c r="G291" s="95">
        <v>500</v>
      </c>
      <c r="H291" s="160">
        <v>8.5000000000000006E-2</v>
      </c>
      <c r="I291" s="161">
        <v>45096</v>
      </c>
      <c r="J291" s="161">
        <v>45645</v>
      </c>
      <c r="K291" s="159" t="s">
        <v>665</v>
      </c>
      <c r="L291" s="162" t="s">
        <v>670</v>
      </c>
    </row>
    <row r="292" spans="4:12" x14ac:dyDescent="0.45">
      <c r="D292" s="158" t="s">
        <v>721</v>
      </c>
      <c r="E292" s="159" t="s">
        <v>711</v>
      </c>
      <c r="F292" s="85">
        <v>1500</v>
      </c>
      <c r="G292" s="85">
        <v>1083</v>
      </c>
      <c r="H292" s="160">
        <v>7.8E-2</v>
      </c>
      <c r="I292" s="161">
        <v>45310</v>
      </c>
      <c r="J292" s="161">
        <v>45857</v>
      </c>
      <c r="K292" s="159" t="s">
        <v>665</v>
      </c>
      <c r="L292" s="162" t="s">
        <v>680</v>
      </c>
    </row>
    <row r="293" spans="4:12" x14ac:dyDescent="0.45">
      <c r="D293" s="158" t="s">
        <v>722</v>
      </c>
      <c r="E293" s="159" t="s">
        <v>711</v>
      </c>
      <c r="F293" s="85">
        <v>3000</v>
      </c>
      <c r="G293" s="85">
        <v>1038</v>
      </c>
      <c r="H293" s="160">
        <v>7.5999999999999998E-2</v>
      </c>
      <c r="I293" s="161">
        <v>45090</v>
      </c>
      <c r="J293" s="161">
        <v>45639</v>
      </c>
      <c r="K293" s="159" t="s">
        <v>676</v>
      </c>
      <c r="L293" s="162" t="s">
        <v>680</v>
      </c>
    </row>
    <row r="294" spans="4:12" x14ac:dyDescent="0.45">
      <c r="D294" s="158" t="s">
        <v>723</v>
      </c>
      <c r="E294" s="159" t="s">
        <v>711</v>
      </c>
      <c r="F294" s="85">
        <v>2000</v>
      </c>
      <c r="G294" s="95">
        <v>917</v>
      </c>
      <c r="H294" s="160">
        <v>7.4999999999999997E-2</v>
      </c>
      <c r="I294" s="161">
        <v>45145</v>
      </c>
      <c r="J294" s="161">
        <v>45695</v>
      </c>
      <c r="K294" s="159" t="s">
        <v>676</v>
      </c>
      <c r="L294" s="162" t="s">
        <v>680</v>
      </c>
    </row>
    <row r="295" spans="4:12" x14ac:dyDescent="0.45">
      <c r="D295" s="158" t="s">
        <v>723</v>
      </c>
      <c r="E295" s="159" t="s">
        <v>711</v>
      </c>
      <c r="F295" s="85">
        <v>2000</v>
      </c>
      <c r="G295" s="85">
        <v>1683</v>
      </c>
      <c r="H295" s="160">
        <v>7.8E-2</v>
      </c>
      <c r="I295" s="161">
        <v>45376</v>
      </c>
      <c r="J295" s="161">
        <v>45925</v>
      </c>
      <c r="K295" s="159" t="s">
        <v>676</v>
      </c>
      <c r="L295" s="162" t="s">
        <v>724</v>
      </c>
    </row>
    <row r="296" spans="4:12" x14ac:dyDescent="0.45">
      <c r="D296" s="158" t="s">
        <v>725</v>
      </c>
      <c r="E296" s="159" t="s">
        <v>711</v>
      </c>
      <c r="F296" s="85">
        <v>1000</v>
      </c>
      <c r="G296" s="95">
        <v>611</v>
      </c>
      <c r="H296" s="160">
        <v>8.5000000000000006E-2</v>
      </c>
      <c r="I296" s="161">
        <v>45236</v>
      </c>
      <c r="J296" s="161">
        <v>45783</v>
      </c>
      <c r="K296" s="159" t="s">
        <v>665</v>
      </c>
      <c r="L296" s="162" t="s">
        <v>670</v>
      </c>
    </row>
    <row r="297" spans="4:12" x14ac:dyDescent="0.45">
      <c r="D297" s="158" t="s">
        <v>725</v>
      </c>
      <c r="E297" s="159" t="s">
        <v>711</v>
      </c>
      <c r="F297" s="85">
        <v>1000</v>
      </c>
      <c r="G297" s="95">
        <v>778</v>
      </c>
      <c r="H297" s="160">
        <v>0.08</v>
      </c>
      <c r="I297" s="161">
        <v>45328</v>
      </c>
      <c r="J297" s="161">
        <v>45875</v>
      </c>
      <c r="K297" s="159" t="s">
        <v>665</v>
      </c>
      <c r="L297" s="162" t="s">
        <v>670</v>
      </c>
    </row>
    <row r="298" spans="4:12" x14ac:dyDescent="0.45">
      <c r="D298" s="158" t="s">
        <v>725</v>
      </c>
      <c r="E298" s="159" t="s">
        <v>711</v>
      </c>
      <c r="F298" s="95">
        <v>850</v>
      </c>
      <c r="G298" s="95">
        <v>850</v>
      </c>
      <c r="H298" s="160">
        <v>7.9000000000000001E-2</v>
      </c>
      <c r="I298" s="161">
        <v>45385</v>
      </c>
      <c r="J298" s="161">
        <v>45554</v>
      </c>
      <c r="K298" s="159" t="s">
        <v>669</v>
      </c>
      <c r="L298" s="162" t="s">
        <v>726</v>
      </c>
    </row>
    <row r="299" spans="4:12" x14ac:dyDescent="0.45">
      <c r="D299" s="158" t="s">
        <v>727</v>
      </c>
      <c r="E299" s="159" t="s">
        <v>711</v>
      </c>
      <c r="F299" s="85">
        <v>3000</v>
      </c>
      <c r="G299" s="95">
        <v>667</v>
      </c>
      <c r="H299" s="160">
        <v>7.4999999999999997E-2</v>
      </c>
      <c r="I299" s="161">
        <v>45026</v>
      </c>
      <c r="J299" s="161">
        <v>45575</v>
      </c>
      <c r="K299" s="159" t="s">
        <v>665</v>
      </c>
      <c r="L299" s="162" t="s">
        <v>680</v>
      </c>
    </row>
    <row r="300" spans="4:12" x14ac:dyDescent="0.45">
      <c r="D300" s="158" t="s">
        <v>727</v>
      </c>
      <c r="E300" s="159" t="s">
        <v>711</v>
      </c>
      <c r="F300" s="85">
        <v>1300</v>
      </c>
      <c r="G300" s="85">
        <v>1011</v>
      </c>
      <c r="H300" s="160">
        <v>7.8E-2</v>
      </c>
      <c r="I300" s="161">
        <v>45322</v>
      </c>
      <c r="J300" s="161">
        <v>45869</v>
      </c>
      <c r="K300" s="159" t="s">
        <v>665</v>
      </c>
      <c r="L300" s="162" t="s">
        <v>680</v>
      </c>
    </row>
    <row r="301" spans="4:12" x14ac:dyDescent="0.45">
      <c r="D301" s="158" t="s">
        <v>728</v>
      </c>
      <c r="E301" s="159" t="s">
        <v>711</v>
      </c>
      <c r="F301" s="85">
        <v>5000</v>
      </c>
      <c r="G301" s="85">
        <v>3056</v>
      </c>
      <c r="H301" s="160">
        <v>7.8E-2</v>
      </c>
      <c r="I301" s="161">
        <v>45252</v>
      </c>
      <c r="J301" s="161">
        <v>45799</v>
      </c>
      <c r="K301" s="159" t="s">
        <v>665</v>
      </c>
      <c r="L301" s="162" t="s">
        <v>680</v>
      </c>
    </row>
    <row r="302" spans="4:12" x14ac:dyDescent="0.45">
      <c r="D302" s="158" t="s">
        <v>729</v>
      </c>
      <c r="E302" s="159" t="s">
        <v>711</v>
      </c>
      <c r="F302" s="85">
        <v>3000</v>
      </c>
      <c r="G302" s="95">
        <v>352</v>
      </c>
      <c r="H302" s="160">
        <v>0.09</v>
      </c>
      <c r="I302" s="161">
        <v>44985</v>
      </c>
      <c r="J302" s="161">
        <v>45532</v>
      </c>
      <c r="K302" s="159" t="s">
        <v>676</v>
      </c>
      <c r="L302" s="162" t="s">
        <v>680</v>
      </c>
    </row>
    <row r="303" spans="4:12" x14ac:dyDescent="0.45">
      <c r="D303" s="158" t="s">
        <v>730</v>
      </c>
      <c r="E303" s="159" t="s">
        <v>711</v>
      </c>
      <c r="F303" s="85">
        <v>3000</v>
      </c>
      <c r="G303" s="85">
        <v>2859</v>
      </c>
      <c r="H303" s="160">
        <v>7.5999999999999998E-2</v>
      </c>
      <c r="I303" s="161">
        <v>45433</v>
      </c>
      <c r="J303" s="161">
        <v>46043</v>
      </c>
      <c r="K303" s="159" t="s">
        <v>676</v>
      </c>
      <c r="L303" s="162" t="s">
        <v>680</v>
      </c>
    </row>
    <row r="304" spans="4:12" x14ac:dyDescent="0.45">
      <c r="D304" s="158" t="s">
        <v>731</v>
      </c>
      <c r="E304" s="159" t="s">
        <v>711</v>
      </c>
      <c r="F304" s="85">
        <v>2000</v>
      </c>
      <c r="G304" s="85">
        <v>1778</v>
      </c>
      <c r="H304" s="160">
        <v>7.8E-2</v>
      </c>
      <c r="I304" s="161">
        <v>45386</v>
      </c>
      <c r="J304" s="161">
        <v>45934</v>
      </c>
      <c r="K304" s="159" t="s">
        <v>665</v>
      </c>
      <c r="L304" s="162" t="s">
        <v>680</v>
      </c>
    </row>
    <row r="305" spans="4:12" x14ac:dyDescent="0.45">
      <c r="D305" s="158" t="s">
        <v>731</v>
      </c>
      <c r="E305" s="159" t="s">
        <v>711</v>
      </c>
      <c r="F305" s="85">
        <v>2000</v>
      </c>
      <c r="G305" s="85">
        <v>2000</v>
      </c>
      <c r="H305" s="160">
        <v>7.8E-2</v>
      </c>
      <c r="I305" s="161">
        <v>45470</v>
      </c>
      <c r="J305" s="161">
        <v>45653</v>
      </c>
      <c r="K305" s="159" t="s">
        <v>665</v>
      </c>
      <c r="L305" s="162" t="s">
        <v>670</v>
      </c>
    </row>
    <row r="306" spans="4:12" x14ac:dyDescent="0.45">
      <c r="D306" s="158" t="s">
        <v>732</v>
      </c>
      <c r="E306" s="159" t="s">
        <v>711</v>
      </c>
      <c r="F306" s="85">
        <v>3000</v>
      </c>
      <c r="G306" s="85">
        <v>2667</v>
      </c>
      <c r="H306" s="160">
        <v>7.5999999999999998E-2</v>
      </c>
      <c r="I306" s="161">
        <v>45009</v>
      </c>
      <c r="J306" s="161">
        <v>45559</v>
      </c>
      <c r="K306" s="159" t="s">
        <v>665</v>
      </c>
      <c r="L306" s="162" t="s">
        <v>680</v>
      </c>
    </row>
    <row r="307" spans="4:12" x14ac:dyDescent="0.45">
      <c r="D307" s="158" t="s">
        <v>733</v>
      </c>
      <c r="E307" s="159" t="s">
        <v>711</v>
      </c>
      <c r="F307" s="85">
        <v>2000</v>
      </c>
      <c r="G307" s="95">
        <v>352</v>
      </c>
      <c r="H307" s="160">
        <v>8.5000000000000006E-2</v>
      </c>
      <c r="I307" s="161">
        <v>45008</v>
      </c>
      <c r="J307" s="161">
        <v>45558</v>
      </c>
      <c r="K307" s="159" t="s">
        <v>676</v>
      </c>
      <c r="L307" s="162" t="s">
        <v>680</v>
      </c>
    </row>
    <row r="308" spans="4:12" x14ac:dyDescent="0.45">
      <c r="D308" s="158" t="s">
        <v>733</v>
      </c>
      <c r="E308" s="159" t="s">
        <v>711</v>
      </c>
      <c r="F308" s="85">
        <v>2000</v>
      </c>
      <c r="G308" s="85">
        <v>1895</v>
      </c>
      <c r="H308" s="160">
        <v>7.6999999999999999E-2</v>
      </c>
      <c r="I308" s="161">
        <v>45429</v>
      </c>
      <c r="J308" s="161">
        <v>45978</v>
      </c>
      <c r="K308" s="159" t="s">
        <v>676</v>
      </c>
      <c r="L308" s="162" t="s">
        <v>680</v>
      </c>
    </row>
    <row r="309" spans="4:12" x14ac:dyDescent="0.45">
      <c r="D309" s="158" t="s">
        <v>734</v>
      </c>
      <c r="E309" s="159" t="s">
        <v>711</v>
      </c>
      <c r="F309" s="85">
        <v>3000</v>
      </c>
      <c r="G309" s="95">
        <v>351</v>
      </c>
      <c r="H309" s="160">
        <v>8.5000000000000006E-2</v>
      </c>
      <c r="I309" s="161">
        <v>44985</v>
      </c>
      <c r="J309" s="161">
        <v>45532</v>
      </c>
      <c r="K309" s="159" t="s">
        <v>676</v>
      </c>
      <c r="L309" s="162" t="s">
        <v>680</v>
      </c>
    </row>
    <row r="310" spans="4:12" x14ac:dyDescent="0.45">
      <c r="D310" s="158" t="s">
        <v>734</v>
      </c>
      <c r="E310" s="159" t="s">
        <v>711</v>
      </c>
      <c r="F310" s="85">
        <v>2000</v>
      </c>
      <c r="G310" s="85">
        <v>2000</v>
      </c>
      <c r="H310" s="160">
        <v>7.4999999999999997E-2</v>
      </c>
      <c r="I310" s="161">
        <v>45457</v>
      </c>
      <c r="J310" s="161">
        <v>46005</v>
      </c>
      <c r="K310" s="159" t="s">
        <v>676</v>
      </c>
      <c r="L310" s="162" t="s">
        <v>680</v>
      </c>
    </row>
    <row r="311" spans="4:12" x14ac:dyDescent="0.45">
      <c r="D311" s="158" t="s">
        <v>735</v>
      </c>
      <c r="E311" s="159" t="s">
        <v>711</v>
      </c>
      <c r="F311" s="85">
        <v>2000</v>
      </c>
      <c r="G311" s="85">
        <v>1444</v>
      </c>
      <c r="H311" s="160">
        <v>7.9000000000000001E-2</v>
      </c>
      <c r="I311" s="161">
        <v>45308</v>
      </c>
      <c r="J311" s="161">
        <v>45855</v>
      </c>
      <c r="K311" s="159" t="s">
        <v>665</v>
      </c>
      <c r="L311" s="162" t="s">
        <v>680</v>
      </c>
    </row>
    <row r="312" spans="4:12" x14ac:dyDescent="0.45">
      <c r="D312" s="158" t="s">
        <v>736</v>
      </c>
      <c r="E312" s="159" t="s">
        <v>711</v>
      </c>
      <c r="F312" s="85">
        <v>3000</v>
      </c>
      <c r="G312" s="95">
        <v>167</v>
      </c>
      <c r="H312" s="160">
        <v>0.09</v>
      </c>
      <c r="I312" s="161">
        <v>44932</v>
      </c>
      <c r="J312" s="161">
        <v>45479</v>
      </c>
      <c r="K312" s="159" t="s">
        <v>665</v>
      </c>
      <c r="L312" s="162" t="s">
        <v>680</v>
      </c>
    </row>
    <row r="313" spans="4:12" x14ac:dyDescent="0.45">
      <c r="D313" s="158" t="s">
        <v>736</v>
      </c>
      <c r="E313" s="159" t="s">
        <v>711</v>
      </c>
      <c r="F313" s="85">
        <v>3000</v>
      </c>
      <c r="G313" s="85">
        <v>2000</v>
      </c>
      <c r="H313" s="160">
        <v>7.8E-2</v>
      </c>
      <c r="I313" s="161">
        <v>45267</v>
      </c>
      <c r="J313" s="161">
        <v>45815</v>
      </c>
      <c r="K313" s="159" t="s">
        <v>665</v>
      </c>
      <c r="L313" s="162" t="s">
        <v>680</v>
      </c>
    </row>
    <row r="314" spans="4:12" x14ac:dyDescent="0.45">
      <c r="D314" s="158" t="s">
        <v>736</v>
      </c>
      <c r="E314" s="159" t="s">
        <v>711</v>
      </c>
      <c r="F314" s="85">
        <v>4000</v>
      </c>
      <c r="G314" s="85">
        <v>4000</v>
      </c>
      <c r="H314" s="160">
        <v>7.5999999999999998E-2</v>
      </c>
      <c r="I314" s="161">
        <v>45442</v>
      </c>
      <c r="J314" s="161">
        <v>45991</v>
      </c>
      <c r="K314" s="159" t="s">
        <v>665</v>
      </c>
      <c r="L314" s="162" t="s">
        <v>680</v>
      </c>
    </row>
    <row r="315" spans="4:12" x14ac:dyDescent="0.45">
      <c r="D315" s="184" t="s">
        <v>681</v>
      </c>
      <c r="E315" s="185"/>
      <c r="F315" s="85">
        <v>78150</v>
      </c>
      <c r="G315" s="85">
        <v>45268</v>
      </c>
      <c r="H315" s="160">
        <v>7.8E-2</v>
      </c>
      <c r="I315" s="163"/>
      <c r="J315" s="163"/>
      <c r="K315" s="163"/>
      <c r="L315" s="164"/>
    </row>
    <row r="316" spans="4:12" x14ac:dyDescent="0.45">
      <c r="D316" s="158" t="s">
        <v>737</v>
      </c>
      <c r="E316" s="159" t="s">
        <v>738</v>
      </c>
      <c r="F316" s="85">
        <v>5000</v>
      </c>
      <c r="G316" s="95">
        <v>380</v>
      </c>
      <c r="H316" s="160">
        <v>7.4999999999999997E-2</v>
      </c>
      <c r="I316" s="161">
        <v>45114</v>
      </c>
      <c r="J316" s="161">
        <v>45480</v>
      </c>
      <c r="K316" s="159" t="s">
        <v>665</v>
      </c>
      <c r="L316" s="162" t="s">
        <v>680</v>
      </c>
    </row>
    <row r="317" spans="4:12" x14ac:dyDescent="0.45">
      <c r="D317" s="158" t="s">
        <v>737</v>
      </c>
      <c r="E317" s="159" t="s">
        <v>738</v>
      </c>
      <c r="F317" s="85">
        <v>4000</v>
      </c>
      <c r="G317" s="85">
        <v>1669</v>
      </c>
      <c r="H317" s="160">
        <v>7.8E-2</v>
      </c>
      <c r="I317" s="161">
        <v>45229</v>
      </c>
      <c r="J317" s="161">
        <v>45595</v>
      </c>
      <c r="K317" s="159" t="s">
        <v>665</v>
      </c>
      <c r="L317" s="162" t="s">
        <v>680</v>
      </c>
    </row>
    <row r="318" spans="4:12" x14ac:dyDescent="0.45">
      <c r="D318" s="158" t="s">
        <v>737</v>
      </c>
      <c r="E318" s="159" t="s">
        <v>738</v>
      </c>
      <c r="F318" s="85">
        <v>4000</v>
      </c>
      <c r="G318" s="85">
        <v>1669</v>
      </c>
      <c r="H318" s="160">
        <v>7.8E-2</v>
      </c>
      <c r="I318" s="161">
        <v>45238</v>
      </c>
      <c r="J318" s="161">
        <v>45604</v>
      </c>
      <c r="K318" s="159" t="s">
        <v>665</v>
      </c>
      <c r="L318" s="162" t="s">
        <v>680</v>
      </c>
    </row>
    <row r="319" spans="4:12" x14ac:dyDescent="0.45">
      <c r="D319" s="167" t="s">
        <v>739</v>
      </c>
      <c r="E319" s="168"/>
      <c r="F319" s="85">
        <v>13000</v>
      </c>
      <c r="G319" s="85">
        <v>3718</v>
      </c>
      <c r="H319" s="160">
        <v>7.8E-2</v>
      </c>
      <c r="I319" s="178"/>
      <c r="J319" s="178"/>
      <c r="K319" s="178"/>
      <c r="L319" s="179"/>
    </row>
    <row r="320" spans="4:12" ht="23" x14ac:dyDescent="0.45">
      <c r="D320" s="186" t="s">
        <v>740</v>
      </c>
      <c r="E320" s="188" t="s">
        <v>741</v>
      </c>
      <c r="F320" s="190">
        <v>7400</v>
      </c>
      <c r="G320" s="190">
        <v>4352</v>
      </c>
      <c r="H320" s="192">
        <v>0.104</v>
      </c>
      <c r="I320" s="188" t="s">
        <v>15</v>
      </c>
      <c r="J320" s="188" t="s">
        <v>15</v>
      </c>
      <c r="K320" s="180" t="s">
        <v>742</v>
      </c>
      <c r="L320" s="194" t="s">
        <v>670</v>
      </c>
    </row>
    <row r="321" spans="4:12" x14ac:dyDescent="0.45">
      <c r="D321" s="187"/>
      <c r="E321" s="189"/>
      <c r="F321" s="191"/>
      <c r="G321" s="191"/>
      <c r="H321" s="193"/>
      <c r="I321" s="189"/>
      <c r="J321" s="189"/>
      <c r="K321" s="159" t="s">
        <v>743</v>
      </c>
      <c r="L321" s="195"/>
    </row>
    <row r="322" spans="4:12" x14ac:dyDescent="0.45">
      <c r="D322" s="196" t="s">
        <v>744</v>
      </c>
      <c r="E322" s="197"/>
      <c r="F322" s="85">
        <v>7400</v>
      </c>
      <c r="G322" s="85">
        <v>4352</v>
      </c>
      <c r="H322" s="160">
        <v>0.104</v>
      </c>
      <c r="I322" s="163"/>
      <c r="J322" s="163"/>
      <c r="K322" s="163"/>
      <c r="L322" s="164"/>
    </row>
    <row r="323" spans="4:12" x14ac:dyDescent="0.45">
      <c r="D323" s="198" t="s">
        <v>745</v>
      </c>
      <c r="E323" s="199"/>
      <c r="F323" s="85">
        <v>27300</v>
      </c>
      <c r="G323" s="85">
        <v>24467</v>
      </c>
      <c r="H323" s="95" t="s">
        <v>746</v>
      </c>
      <c r="I323" s="161">
        <v>44715</v>
      </c>
      <c r="J323" s="161">
        <v>46141</v>
      </c>
      <c r="K323" s="163"/>
      <c r="L323" s="162" t="s">
        <v>670</v>
      </c>
    </row>
    <row r="324" spans="4:12" x14ac:dyDescent="0.45">
      <c r="D324" s="200" t="s">
        <v>747</v>
      </c>
      <c r="E324" s="201"/>
      <c r="F324" s="85">
        <v>27300</v>
      </c>
      <c r="G324" s="85">
        <v>24467</v>
      </c>
      <c r="H324" s="160">
        <v>7.5999999999999998E-2</v>
      </c>
      <c r="I324" s="163"/>
      <c r="J324" s="163"/>
      <c r="K324" s="163"/>
      <c r="L324" s="164"/>
    </row>
    <row r="325" spans="4:12" ht="17.5" thickBot="1" x14ac:dyDescent="0.5">
      <c r="D325" s="169" t="s">
        <v>687</v>
      </c>
      <c r="E325" s="170"/>
      <c r="F325" s="181">
        <v>171350</v>
      </c>
      <c r="G325" s="181">
        <v>104805</v>
      </c>
      <c r="H325" s="182"/>
      <c r="I325" s="182"/>
      <c r="J325" s="182"/>
      <c r="K325" s="182"/>
      <c r="L325" s="183"/>
    </row>
    <row r="329" spans="4:12" ht="17.5" thickBot="1" x14ac:dyDescent="0.5">
      <c r="D329" s="151" t="s">
        <v>750</v>
      </c>
    </row>
    <row r="330" spans="4:12" x14ac:dyDescent="0.45">
      <c r="D330" s="16" t="s">
        <v>627</v>
      </c>
      <c r="E330" s="17" t="s">
        <v>380</v>
      </c>
      <c r="F330" s="18" t="s">
        <v>689</v>
      </c>
    </row>
    <row r="331" spans="4:12" x14ac:dyDescent="0.45">
      <c r="D331" s="19" t="s">
        <v>690</v>
      </c>
      <c r="E331" s="32">
        <v>5583</v>
      </c>
      <c r="F331" s="152">
        <v>5.2999999999999999E-2</v>
      </c>
    </row>
    <row r="332" spans="4:12" x14ac:dyDescent="0.45">
      <c r="D332" s="19" t="s">
        <v>748</v>
      </c>
      <c r="E332" s="32">
        <v>4352</v>
      </c>
      <c r="F332" s="152">
        <v>4.2000000000000003E-2</v>
      </c>
    </row>
    <row r="333" spans="4:12" x14ac:dyDescent="0.45">
      <c r="D333" s="19" t="s">
        <v>692</v>
      </c>
      <c r="E333" s="32">
        <v>45268</v>
      </c>
      <c r="F333" s="152">
        <v>0.432</v>
      </c>
    </row>
    <row r="334" spans="4:12" x14ac:dyDescent="0.45">
      <c r="D334" s="19" t="s">
        <v>691</v>
      </c>
      <c r="E334" s="32">
        <v>21418</v>
      </c>
      <c r="F334" s="152">
        <v>0.20399999999999999</v>
      </c>
    </row>
    <row r="335" spans="4:12" x14ac:dyDescent="0.45">
      <c r="D335" s="19" t="s">
        <v>749</v>
      </c>
      <c r="E335" s="32">
        <v>3718</v>
      </c>
      <c r="F335" s="152">
        <v>3.5000000000000003E-2</v>
      </c>
    </row>
    <row r="336" spans="4:12" x14ac:dyDescent="0.45">
      <c r="D336" s="19" t="s">
        <v>694</v>
      </c>
      <c r="E336" s="32">
        <v>24467</v>
      </c>
      <c r="F336" s="152">
        <v>0.23300000000000001</v>
      </c>
    </row>
    <row r="337" spans="4:6" ht="17.5" thickBot="1" x14ac:dyDescent="0.5">
      <c r="D337" s="23" t="s">
        <v>613</v>
      </c>
      <c r="E337" s="34">
        <v>104805</v>
      </c>
      <c r="F337" s="153">
        <v>1</v>
      </c>
    </row>
  </sheetData>
  <mergeCells count="84">
    <mergeCell ref="K112:K113"/>
    <mergeCell ref="L112:L113"/>
    <mergeCell ref="M112:M113"/>
    <mergeCell ref="N112:N113"/>
    <mergeCell ref="O112:O113"/>
    <mergeCell ref="P112:P113"/>
    <mergeCell ref="E112:E113"/>
    <mergeCell ref="F112:F113"/>
    <mergeCell ref="G112:G113"/>
    <mergeCell ref="H112:H113"/>
    <mergeCell ref="I112:I113"/>
    <mergeCell ref="J112:J113"/>
    <mergeCell ref="K110:K111"/>
    <mergeCell ref="L110:L111"/>
    <mergeCell ref="M110:M111"/>
    <mergeCell ref="N110:N111"/>
    <mergeCell ref="O110:O111"/>
    <mergeCell ref="P110:P111"/>
    <mergeCell ref="F78:I78"/>
    <mergeCell ref="J78:J79"/>
    <mergeCell ref="E110:E111"/>
    <mergeCell ref="F110:F111"/>
    <mergeCell ref="G110:G111"/>
    <mergeCell ref="H110:H111"/>
    <mergeCell ref="I110:I111"/>
    <mergeCell ref="J110:J111"/>
    <mergeCell ref="D64:D66"/>
    <mergeCell ref="D67:D69"/>
    <mergeCell ref="D70:E70"/>
    <mergeCell ref="D71:D73"/>
    <mergeCell ref="D74:E74"/>
    <mergeCell ref="D78:D79"/>
    <mergeCell ref="E78:E79"/>
    <mergeCell ref="P61:Q61"/>
    <mergeCell ref="D63:E63"/>
    <mergeCell ref="F63:G63"/>
    <mergeCell ref="H63:I63"/>
    <mergeCell ref="J63:K63"/>
    <mergeCell ref="L63:M63"/>
    <mergeCell ref="N63:O63"/>
    <mergeCell ref="P63:Q63"/>
    <mergeCell ref="D61:E62"/>
    <mergeCell ref="F61:G61"/>
    <mergeCell ref="H61:I61"/>
    <mergeCell ref="J61:K61"/>
    <mergeCell ref="L61:M61"/>
    <mergeCell ref="N61:O61"/>
    <mergeCell ref="D325:E325"/>
    <mergeCell ref="D45:E45"/>
    <mergeCell ref="D46:E46"/>
    <mergeCell ref="D47:D49"/>
    <mergeCell ref="D50:E50"/>
    <mergeCell ref="D51:D53"/>
    <mergeCell ref="D54:E54"/>
    <mergeCell ref="D55:E55"/>
    <mergeCell ref="D56:E56"/>
    <mergeCell ref="D57:E57"/>
    <mergeCell ref="I320:I321"/>
    <mergeCell ref="J320:J321"/>
    <mergeCell ref="L320:L321"/>
    <mergeCell ref="D322:E322"/>
    <mergeCell ref="D323:E323"/>
    <mergeCell ref="D324:E324"/>
    <mergeCell ref="D319:E319"/>
    <mergeCell ref="D320:D321"/>
    <mergeCell ref="E320:E321"/>
    <mergeCell ref="F320:F321"/>
    <mergeCell ref="G320:G321"/>
    <mergeCell ref="H320:H321"/>
    <mergeCell ref="I244:I245"/>
    <mergeCell ref="J244:J245"/>
    <mergeCell ref="K244:K245"/>
    <mergeCell ref="D265:E265"/>
    <mergeCell ref="D276:E276"/>
    <mergeCell ref="D315:E315"/>
    <mergeCell ref="D236:D237"/>
    <mergeCell ref="D240:D242"/>
    <mergeCell ref="E244:E245"/>
    <mergeCell ref="F244:F245"/>
    <mergeCell ref="G244:G245"/>
    <mergeCell ref="H244:H245"/>
    <mergeCell ref="D134:D135"/>
    <mergeCell ref="F134:F135"/>
    <mergeCell ref="G134:G13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Lead</vt:lpstr>
      <vt:lpstr>to report</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2025-11-02T11:45:02Z</dcterms:modified>
</cp:coreProperties>
</file>