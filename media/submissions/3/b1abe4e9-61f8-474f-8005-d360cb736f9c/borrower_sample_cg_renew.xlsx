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5"/>
  </bookViews>
  <sheets>
    <sheet r:id="rId1" sheetId="1" name="개요"/>
    <sheet r:id="rId2" sheetId="2" name="담보사항"/>
    <sheet r:id="rId3" sheetId="3" name="신청사 개요"/>
    <sheet r:id="rId4" sheetId="4" name="신청사 주주현황"/>
    <sheet r:id="rId5" sheetId="5" name="신청사 대표 경력"/>
    <sheet r:id="rId6" sheetId="6" name="신청사 BS"/>
    <sheet r:id="rId7" sheetId="7" name="신청사 PL"/>
    <sheet r:id="rId8" sheetId="8" name="신청사 차입금현황"/>
    <sheet r:id="rId9" sheetId="9" name="신청사 영업 주요상품"/>
    <sheet r:id="rId10" sheetId="10" name="신청사 대출상품 잔액 및 비중"/>
    <sheet r:id="rId11" sheetId="11" name="신청사 월별 영업현황"/>
    <sheet r:id="rId12" sheetId="12" name="신청사 월별 대출취급 및 원리금상환 현황"/>
    <sheet r:id="rId13" sheetId="13" name="신청사 총자산한도 현황"/>
    <sheet r:id="rId14" sheetId="14" name="신청사 연체율 현황"/>
    <sheet r:id="rId15" sheetId="15" name="신청사 연체율 현황(당해년도분)"/>
    <sheet r:id="rId16" sheetId="16" name="신청사 대손충당금 현황"/>
    <sheet r:id="rId17" sheetId="17" name="신청사 대손충당금 적립비율"/>
    <sheet r:id="rId18" sheetId="18" name="신청사 자산건전성 현황"/>
    <sheet r:id="rId19" sheetId="19" name="보증사 개요"/>
    <sheet r:id="rId20" sheetId="20" name="보증사 주주현황"/>
    <sheet r:id="rId21" sheetId="21" name="보증사 BS"/>
    <sheet r:id="rId22" sheetId="22" name="보증사 PL"/>
    <sheet r:id="rId23" sheetId="23" name="보증사 주요 재무지표"/>
    <sheet r:id="rId24" sheetId="24" name="보증사 영업현황"/>
    <sheet r:id="rId25" sheetId="25" name="보증사 월별 영업현황"/>
    <sheet r:id="rId26" sheetId="26" name="보증사 총자산한도"/>
    <sheet r:id="rId27" sheetId="27" name="별첨1.차주 차입금현황"/>
    <sheet r:id="rId28" sheetId="28" name="별첨1.1 차주 차입금 요약표"/>
    <sheet r:id="rId29" sheetId="29" name="별첨2 보증사 차입금 현황"/>
    <sheet r:id="rId30" sheetId="30" name="보증사 차입금 요약표"/>
  </sheets>
  <calcPr fullCalcOnLoad="1"/>
</workbook>
</file>

<file path=xl/sharedStrings.xml><?xml version="1.0" encoding="utf-8"?>
<sst xmlns="http://schemas.openxmlformats.org/spreadsheetml/2006/main" count="761" uniqueCount="369">
  <si>
    <t>구 분</t>
  </si>
  <si>
    <t>대출잔액</t>
  </si>
  <si>
    <t>비율(%)</t>
  </si>
  <si>
    <t>금 융 권</t>
  </si>
  <si>
    <t>일 반 대 출</t>
  </si>
  <si>
    <t>저 축 은 행</t>
  </si>
  <si>
    <t>여 전 사</t>
  </si>
  <si>
    <t>종 금 사</t>
  </si>
  <si>
    <t>사 모 사 채</t>
  </si>
  <si>
    <t>합 계</t>
  </si>
  <si>
    <t>기준</t>
  </si>
  <si>
    <t>2024.06.30.</t>
  </si>
  <si>
    <t>단위</t>
  </si>
  <si>
    <t>백만원</t>
  </si>
  <si>
    <t>은행명</t>
  </si>
  <si>
    <t>과목</t>
  </si>
  <si>
    <t>한도금액</t>
  </si>
  <si>
    <t>금리(%)</t>
  </si>
  <si>
    <t>차입일</t>
  </si>
  <si>
    <t>만기일</t>
  </si>
  <si>
    <t>상환방식</t>
  </si>
  <si>
    <t>담보제공</t>
  </si>
  <si>
    <t>국민은행</t>
  </si>
  <si>
    <t>은행</t>
  </si>
  <si>
    <t>만기일시</t>
  </si>
  <si>
    <t>무담보</t>
  </si>
  <si>
    <t>농협은행</t>
  </si>
  <si>
    <t>원금균등</t>
  </si>
  <si>
    <t>대구은행</t>
  </si>
  <si>
    <t>우리은행</t>
  </si>
  <si>
    <t>1금융 소계</t>
  </si>
  <si>
    <t>롯데카드</t>
  </si>
  <si>
    <t>여전사</t>
  </si>
  <si>
    <t>신용채권</t>
  </si>
  <si>
    <t>BC카드</t>
  </si>
  <si>
    <t>원리금균등</t>
  </si>
  <si>
    <t>우리카드</t>
  </si>
  <si>
    <t>BNK캐피탈</t>
  </si>
  <si>
    <t>신한캐피탈</t>
  </si>
  <si>
    <t>에코캐피탈</t>
  </si>
  <si>
    <t>여전사 소계</t>
  </si>
  <si>
    <t>금화저축은행</t>
  </si>
  <si>
    <t>저축은행</t>
  </si>
  <si>
    <t>남양저축은행</t>
  </si>
  <si>
    <t>다올</t>
  </si>
  <si>
    <t>대한</t>
  </si>
  <si>
    <t>더케이</t>
  </si>
  <si>
    <t>모아</t>
  </si>
  <si>
    <t>삼정</t>
  </si>
  <si>
    <t>삼호</t>
  </si>
  <si>
    <t>세람</t>
  </si>
  <si>
    <t>스마트</t>
  </si>
  <si>
    <t>안국</t>
  </si>
  <si>
    <t>안양</t>
  </si>
  <si>
    <t>NH</t>
  </si>
  <si>
    <t>후취</t>
  </si>
  <si>
    <t>영진</t>
  </si>
  <si>
    <t>부동산(질권)</t>
  </si>
  <si>
    <t>OSB</t>
  </si>
  <si>
    <t>오케이</t>
  </si>
  <si>
    <t>우리금융</t>
  </si>
  <si>
    <t>웰컴</t>
  </si>
  <si>
    <t>인천</t>
  </si>
  <si>
    <t>참</t>
  </si>
  <si>
    <t>청주</t>
  </si>
  <si>
    <t>KB</t>
  </si>
  <si>
    <t>키움</t>
  </si>
  <si>
    <t>키움YES</t>
  </si>
  <si>
    <t>저축은행 소계</t>
  </si>
  <si>
    <t>우리종합금융</t>
  </si>
  <si>
    <t>종금사</t>
  </si>
  <si>
    <t>종금사 소계</t>
  </si>
  <si>
    <t>일반투자자(13건)</t>
  </si>
  <si>
    <t>일반</t>
  </si>
  <si>
    <t>-</t>
  </si>
  <si>
    <t>원금자유/만기일시</t>
  </si>
  <si>
    <t>/원리금균등</t>
  </si>
  <si>
    <t>일반 소계</t>
  </si>
  <si>
    <t>무보증사모사채(83건) 사모사채</t>
  </si>
  <si>
    <t>6.0~9.0%</t>
  </si>
  <si>
    <t>무보증사모사채 소계</t>
  </si>
  <si>
    <t>합계</t>
  </si>
  <si>
    <t>대 부 사</t>
  </si>
  <si>
    <t>㈜우리은행</t>
  </si>
  <si>
    <t>신탁등기(시설자금)</t>
  </si>
  <si>
    <t>㈜국민은행</t>
  </si>
  <si>
    <t>MOR 3M 변동+3.54%</t>
  </si>
  <si>
    <t>㈜신한은행</t>
  </si>
  <si>
    <t>금융권 소계</t>
  </si>
  <si>
    <t>㈜유진대부금융</t>
  </si>
  <si>
    <t>부동산</t>
  </si>
  <si>
    <t>㈜조이크레디트대부금융</t>
  </si>
  <si>
    <t>일반대출 소계</t>
  </si>
  <si>
    <t>㈜영진저축은행</t>
  </si>
  <si>
    <t>웰컴저축은행(주)</t>
  </si>
  <si>
    <t>제이비우리캐피탈㈜</t>
  </si>
  <si>
    <t>무보증사모사채</t>
  </si>
  <si>
    <t>7.0~10.0%</t>
  </si>
  <si>
    <t>(총 46건) 소계</t>
  </si>
  <si>
    <t>자산총계</t>
  </si>
  <si>
    <t>자본총계</t>
  </si>
  <si>
    <t>총자산한도</t>
  </si>
  <si>
    <t>부채총계</t>
  </si>
  <si>
    <t>103,42</t>
  </si>
  <si>
    <t>납입자본금</t>
  </si>
  <si>
    <t>당기손익(누적)</t>
  </si>
  <si>
    <t>대출건수(月)</t>
  </si>
  <si>
    <t>대출금액(月)</t>
  </si>
  <si>
    <t>총 대출건수</t>
  </si>
  <si>
    <t>총 대출잔액</t>
  </si>
  <si>
    <t>차입금</t>
  </si>
  <si>
    <t>상품명</t>
  </si>
  <si>
    <t>대상</t>
  </si>
  <si>
    <t>한 도</t>
  </si>
  <si>
    <t>대출기간</t>
  </si>
  <si>
    <t>상환방법</t>
  </si>
  <si>
    <t>비고</t>
  </si>
  <si>
    <t>일반대출</t>
  </si>
  <si>
    <t>직장인, 사업자, 기타</t>
  </si>
  <si>
    <t>3,000만원</t>
  </si>
  <si>
    <t>60개월 이내</t>
  </si>
  <si>
    <t>원리금균등/자유</t>
  </si>
  <si>
    <t>연금리 20% 이내</t>
  </si>
  <si>
    <t>2021.12.</t>
  </si>
  <si>
    <t>2022.12.</t>
  </si>
  <si>
    <t>총자산증가율</t>
  </si>
  <si>
    <t>(당기-전기총자산) / 전기 총자산</t>
  </si>
  <si>
    <t>대출채권 증가율</t>
  </si>
  <si>
    <t>(당기-전기대출자산) / 전기 대출자산</t>
  </si>
  <si>
    <t>자기자본 비율</t>
  </si>
  <si>
    <t>자기자본 / 총자산</t>
  </si>
  <si>
    <t>법인세차감전 순이익율</t>
  </si>
  <si>
    <t>법인세차감전순이익 / 총자산</t>
  </si>
  <si>
    <t>ROA(총자산수익율)</t>
  </si>
  <si>
    <t>당기순이익 / 총자산</t>
  </si>
  <si>
    <t>ROE(자기자본이익율)</t>
  </si>
  <si>
    <t>당기순이익 / 자기자본</t>
  </si>
  <si>
    <t>영업수익대 영업이익율</t>
  </si>
  <si>
    <t>영업이익 / 영업수익</t>
  </si>
  <si>
    <t>영업수익대 순이익율</t>
  </si>
  <si>
    <t>당기순이익 / 영업수익</t>
  </si>
  <si>
    <t>대출채권평잔</t>
  </si>
  <si>
    <t>(전기+당기 대출채권) / 2</t>
  </si>
  <si>
    <t>운용수익율(A)</t>
  </si>
  <si>
    <t>대출금이자수익 / 대출채권평잔</t>
  </si>
  <si>
    <t>이자원가율(B)</t>
  </si>
  <si>
    <t>차입금이자비용 / 대출채권평잔</t>
  </si>
  <si>
    <t>대손비용율(C)</t>
  </si>
  <si>
    <t>대손상각비 / 대출채권평잔</t>
  </si>
  <si>
    <t>모집비용율(D)</t>
  </si>
  <si>
    <t>모집비용 / 대출채권평잔</t>
  </si>
  <si>
    <t>기타 판관비용율(E)</t>
  </si>
  <si>
    <t>기타관리비 / 대출채권평잔</t>
  </si>
  <si>
    <t>영업이익율(A-B-C-D-E)</t>
  </si>
  <si>
    <t>항 목</t>
  </si>
  <si>
    <t>영업수익</t>
  </si>
  <si>
    <t>대출금이자수익</t>
  </si>
  <si>
    <t>대출채권처분이익</t>
  </si>
  <si>
    <t>지분법이익</t>
  </si>
  <si>
    <t>영업비용</t>
  </si>
  <si>
    <t>이자비용</t>
  </si>
  <si>
    <t>대손비용</t>
  </si>
  <si>
    <t>모집비용</t>
  </si>
  <si>
    <t>기타판관비</t>
  </si>
  <si>
    <t>감가상각비</t>
  </si>
  <si>
    <t>무형자산상각비</t>
  </si>
  <si>
    <t>영업이익</t>
  </si>
  <si>
    <t>영업외손익</t>
  </si>
  <si>
    <t>법인세차감전 순이익</t>
  </si>
  <si>
    <t>당기순이익</t>
  </si>
  <si>
    <t>※ 당기순손실 사유 : ’22년 4분기 영업 중단의 여파로 대출채권이 감소됨에 따라 대출채권 평균잔액이 지속 감소하였고 연체율의 증가로 인한 대손상각비 증가, 차입 평균 금리 인상에 따른 비용 증가 등의 사유로 당기순손실 발생 되었으나 ‘24년 대출자산 순증에 따른 이자수익 증가 및 기존고객의 추가·재대출 등 자체 영업 활성화에 따른 모집 비용 감소 및 조달금리 안정화 등을 통해 흑자전환 계획임.</t>
  </si>
  <si>
    <t>현금성자산</t>
  </si>
  <si>
    <t>대출채권</t>
  </si>
  <si>
    <t>대출금</t>
  </si>
  <si>
    <t>(대손충당금)</t>
  </si>
  <si>
    <t>기타자산</t>
  </si>
  <si>
    <t>차입부채</t>
  </si>
  <si>
    <t>기타부채</t>
  </si>
  <si>
    <t>자본금</t>
  </si>
  <si>
    <t>자본(이익)잉여금</t>
  </si>
  <si>
    <t>주 주 명</t>
  </si>
  <si>
    <t>주 식 수</t>
  </si>
  <si>
    <t>금 액</t>
  </si>
  <si>
    <t>지 분 율</t>
  </si>
  <si>
    <t>비 고</t>
  </si>
  <si>
    <t>김봉철</t>
  </si>
  <si>
    <t>최대주주</t>
  </si>
  <si>
    <t>김도현</t>
  </si>
  <si>
    <t>김현영</t>
  </si>
  <si>
    <t>박은섭</t>
  </si>
  <si>
    <t>대표이사(각자대표)</t>
  </si>
  <si>
    <t>권덕주</t>
  </si>
  <si>
    <t>허정우</t>
  </si>
  <si>
    <t>업 체 명</t>
  </si>
  <si>
    <t>㈜골든캐피탈대부</t>
  </si>
  <si>
    <t>대 표 자</t>
  </si>
  <si>
    <t>박은섭, 권덕주(각자대표)</t>
  </si>
  <si>
    <t>사 업 내 용</t>
  </si>
  <si>
    <t>대 부 업</t>
  </si>
  <si>
    <t>기 업 형 태</t>
  </si>
  <si>
    <t>외 감</t>
  </si>
  <si>
    <t>본 사 소 재 지</t>
  </si>
  <si>
    <t>서울특별시 영등포구 국회대로74실 4, 6층(여의도동, KC TOWER)</t>
  </si>
  <si>
    <t>설 립 일 자</t>
  </si>
  <si>
    <t>자 본 금</t>
  </si>
  <si>
    <t>1,000백만원</t>
  </si>
  <si>
    <t>대 부 업 등 록</t>
  </si>
  <si>
    <t>2016-금감원-0024(대부업)</t>
  </si>
  <si>
    <t>인 원 수</t>
  </si>
  <si>
    <t>47명</t>
  </si>
  <si>
    <t>사업자등록번호</t>
  </si>
  <si>
    <t>264-81-07004</t>
  </si>
  <si>
    <t>A. 대출금</t>
  </si>
  <si>
    <t>B. 총 연체대출금</t>
  </si>
  <si>
    <t>C. 대손충당금</t>
  </si>
  <si>
    <t>D. 총 연체비율</t>
  </si>
  <si>
    <t>30,53%</t>
  </si>
  <si>
    <t>E. 전체대출금/ 충당금 적립율</t>
  </si>
  <si>
    <t>F. 연체 31일 이상 충당금 적립율</t>
  </si>
  <si>
    <t>%</t>
  </si>
  <si>
    <t>미연체</t>
  </si>
  <si>
    <t>1~30</t>
  </si>
  <si>
    <t>31~60</t>
  </si>
  <si>
    <t>61~90</t>
  </si>
  <si>
    <t>91~120</t>
  </si>
  <si>
    <t>121~150</t>
  </si>
  <si>
    <t>151~180</t>
  </si>
  <si>
    <t>181이상</t>
  </si>
  <si>
    <t>일반대출채권</t>
  </si>
  <si>
    <t>개인회생채권</t>
  </si>
  <si>
    <t>신용회복채권</t>
  </si>
  <si>
    <t>담보대출채권</t>
  </si>
  <si>
    <t>▶담보대출채권: 연체 30일 이상 회수가능 채권은 낙찰가 대비 10~20% 설정, 회수불능 채권은 일반대출채권과 동일하게 설정</t>
  </si>
  <si>
    <t>충당금</t>
  </si>
  <si>
    <t>기초금액</t>
  </si>
  <si>
    <t>신규설정</t>
  </si>
  <si>
    <t>감소액</t>
  </si>
  <si>
    <t>기말잔액</t>
  </si>
  <si>
    <t>설정율(%)</t>
  </si>
  <si>
    <t>취급년도</t>
  </si>
  <si>
    <t>구분</t>
  </si>
  <si>
    <t>신용</t>
  </si>
  <si>
    <t>담보</t>
  </si>
  <si>
    <t>총 대출금</t>
  </si>
  <si>
    <t>대출취급</t>
  </si>
  <si>
    <t>대출건수</t>
  </si>
  <si>
    <t>대출금액</t>
  </si>
  <si>
    <t>연체금액</t>
  </si>
  <si>
    <t>1일~10일</t>
  </si>
  <si>
    <t>11일~30일</t>
  </si>
  <si>
    <t>31일 이상</t>
  </si>
  <si>
    <t>소계</t>
  </si>
  <si>
    <t>연체율</t>
  </si>
  <si>
    <t>연 체 금 액</t>
  </si>
  <si>
    <t>1일이상</t>
  </si>
  <si>
    <t>11일이상</t>
  </si>
  <si>
    <t>31일이상</t>
  </si>
  <si>
    <t>소 계</t>
  </si>
  <si>
    <t>연 체 율</t>
  </si>
  <si>
    <t>대손충당금</t>
  </si>
  <si>
    <t>상 각</t>
  </si>
  <si>
    <t>매 각</t>
  </si>
  <si>
    <t>대출 취급</t>
  </si>
  <si>
    <t>신 규</t>
  </si>
  <si>
    <t>재대출</t>
  </si>
  <si>
    <t>원금 회수액</t>
  </si>
  <si>
    <t>이자 회수액</t>
  </si>
  <si>
    <t>월간 순증액</t>
  </si>
  <si>
    <t>월대출 건 수</t>
  </si>
  <si>
    <t>평균단가</t>
  </si>
  <si>
    <t>평균이자율(누적)</t>
  </si>
  <si>
    <t>300만원 이하</t>
  </si>
  <si>
    <t>500만원 이하</t>
  </si>
  <si>
    <t>700만원 이하</t>
  </si>
  <si>
    <t>1,000만원 이하</t>
  </si>
  <si>
    <t>2,000만원 이하</t>
  </si>
  <si>
    <t>2,000만원 초과</t>
  </si>
  <si>
    <t>주식발행초과금</t>
  </si>
  <si>
    <t>2024.06.30</t>
  </si>
  <si>
    <t>잔 액</t>
  </si>
  <si>
    <t>비중</t>
  </si>
  <si>
    <t>담보대출</t>
  </si>
  <si>
    <t>신용대출</t>
  </si>
  <si>
    <t>▶담보제공 가능 신용대출채권 66억원(신용대출 정상채권기준)</t>
  </si>
  <si>
    <t>대 상</t>
  </si>
  <si>
    <t>금 리</t>
  </si>
  <si>
    <t>개시자, 회생자, 회복자, 파산자</t>
  </si>
  <si>
    <t>15백만원</t>
  </si>
  <si>
    <t>36M-60M</t>
  </si>
  <si>
    <t>원리금균등/만기일시</t>
  </si>
  <si>
    <t>후순위 소액담보대출</t>
  </si>
  <si>
    <t>본인명의 주택소유자</t>
  </si>
  <si>
    <t>30백만원</t>
  </si>
  <si>
    <t>24M~36M</t>
  </si>
  <si>
    <t>원금자유</t>
  </si>
  <si>
    <t>지분대출</t>
  </si>
  <si>
    <t>본인 또는 배우자명의 주택소유자</t>
  </si>
  <si>
    <t>100백만원</t>
  </si>
  <si>
    <t>15.9~19.0%</t>
  </si>
  <si>
    <t>▶24.03월 정상채권 약 852억원(신용채권 663억, 부동산담보채권 189억) 매각 이후 후순위 소액 부동산 담보대출을 주력하고 있음</t>
  </si>
  <si>
    <t>시 중 은 행</t>
  </si>
  <si>
    <t>기타수익</t>
  </si>
  <si>
    <t>대손상각비</t>
  </si>
  <si>
    <t>대출채권처분손실</t>
  </si>
  <si>
    <t>일반관리비</t>
  </si>
  <si>
    <t>기타영업비용</t>
  </si>
  <si>
    <t>법인세</t>
  </si>
  <si>
    <t>※당기순손실 사유 : ‘24.01~03월까지 정상채권 약 852억원(신용채권 663억, 부동산담보채권 189억) 매각에 따른 대출자산의 감소로 인한 이자수익 감소 및 연체율 상승에 따른 대손비용 증가. ’24.03월부터 우량자산 확보를 위해 소액 부동산담보대출(후순위)을 취급하여 특수채권(개인회생, 신용회복)으로의 전이를 방 지하고, 일부 신용대출 취급으로 이자수익 증대 예정. ‘24.12월말 기준 대출자산 600억원을 목표로 영업을 확대하고 있음.</t>
  </si>
  <si>
    <t>검증</t>
  </si>
  <si>
    <t>이름</t>
  </si>
  <si>
    <t>경 력 사 항</t>
  </si>
  <si>
    <t>- 前 ㈜굿모닝캐피탈대부 이사</t>
  </si>
  <si>
    <t>- 前 ㈜케이지코퍼레이션대부 이사</t>
  </si>
  <si>
    <t>- 現 ㈜골든캐피탈대부 대표이사</t>
  </si>
  <si>
    <t>- 現 ㈜오케이파이낸셜대부 대표이사</t>
  </si>
  <si>
    <t>주민번호</t>
  </si>
  <si>
    <t>(740112-1)</t>
  </si>
  <si>
    <t>보통주</t>
  </si>
  <si>
    <t>상환우선주</t>
  </si>
  <si>
    <t>㈜오케이파이낸셜대부</t>
  </si>
  <si>
    <t>박 은 섭</t>
  </si>
  <si>
    <t>서울시 영등포구 국회대로74길 4, 2층</t>
  </si>
  <si>
    <t>1,142백만원</t>
  </si>
  <si>
    <t>2016-금감원-0037(대부업)</t>
  </si>
  <si>
    <t>30명</t>
  </si>
  <si>
    <t>264-81-47097</t>
  </si>
  <si>
    <t>물적담보</t>
  </si>
  <si>
    <t>-  당행 대출금액의 130% 해당하는 신청사 대출채권 양도 담보</t>
  </si>
  <si>
    <t>-  담보 제공된 대출채권이 연체 또는 상환 발생시, 매월 정상채권 교환 및 보완으로 담보비율 130% 이상 유지</t>
  </si>
  <si>
    <t>-  매월 채권내역(연체채권 내역 등)에 대한 확인서 또는 전산 제공</t>
  </si>
  <si>
    <t>→ 대부업체 전산에 당행 담당자 아이피 등록 후 양도담보비율, 거래내역 등 상시 확인 가능</t>
  </si>
  <si>
    <t>인적담보(연대보증인)</t>
  </si>
  <si>
    <t>-  최대주주 김봉철 : 한정근보증(대출금의 130%)</t>
  </si>
  <si>
    <t>-  관계사 ㈜골든캐피탈대부 연대보증 입보 (대출금의 130%)</t>
  </si>
  <si>
    <t>최대주주 경력사항</t>
  </si>
  <si>
    <t>경력사항</t>
  </si>
  <si>
    <t>- 前 웰컴크레디트라인대부(주) 구로, 부평지점장</t>
  </si>
  <si>
    <t>-  前 ㈜굿모닝캐피탈대부 이사</t>
  </si>
  <si>
    <t>-  現 ㈜오케이파이낸셜대부 이사</t>
  </si>
  <si>
    <t>- 現 ㈜골든캐피탈대부 이사</t>
  </si>
  <si>
    <t>- NICE 917점</t>
  </si>
  <si>
    <t>(761229-1)</t>
  </si>
  <si>
    <t>신청사 ㈜오케이파이낸셜대부는 2014년 12월 설립되어 신용대출을 주 상품으로 대부업을 영위하고 있는 업체로서 2023년 12월 결산 기준 자산총계 1,439억원, 자본총계 232억원, 총자산한도 6.20배로 대부업 규정 준수중이며, 매출액 247억원, 당기순이익 1.4억원을 시현하였음. 2016년 8월부터 2024년 6월까지 당행과 14회, 누적취급액 220억원을 정상 거래했던 기 거래업체로 금번 신용대출채권 담보로 대부업 대출 10억원 신청함</t>
  </si>
  <si>
    <t>법인(사업자)등록번호</t>
  </si>
  <si>
    <t>110111-5589580 /264-81-47097</t>
  </si>
  <si>
    <t>금일십억원(\1,000,000,000)</t>
  </si>
  <si>
    <t>대출과목</t>
  </si>
  <si>
    <t>일반자금대출</t>
  </si>
  <si>
    <t>대출이율</t>
  </si>
  <si>
    <t>20개월</t>
  </si>
  <si>
    <t>취급예정일</t>
  </si>
  <si>
    <t>2024.07.00</t>
  </si>
  <si>
    <t>취급예정일 기준
대부업대출 잔액</t>
  </si>
  <si>
    <t>390억</t>
  </si>
  <si>
    <t>취급수수료</t>
  </si>
  <si>
    <t>중도상환수수료</t>
  </si>
  <si>
    <t>자금용도</t>
  </si>
  <si>
    <t>운영자금</t>
  </si>
  <si>
    <t>총자산한도(자산/자본)</t>
  </si>
  <si>
    <t>6.20배 (23.12.기준)</t>
  </si>
  <si>
    <t>원리금균등분할상환(월 53.4백만원)</t>
  </si>
  <si>
    <t>채권보전</t>
  </si>
  <si>
    <t>-  물적담보 : 당행 대출금액의 130%에 해당하는 신청사 대출채권 양도 담보</t>
  </si>
  <si>
    <t>-  인적담보 : 최대주주 김봉철, 관계사 ㈜골든캐피탈대부 연대보증 입보</t>
  </si>
  <si>
    <t>기 타</t>
  </si>
  <si>
    <t>-  매월 채권내역(연체채권 내역 등)에 대한 확인서 제출 또는 담보실사(담당자 방문) 진행</t>
  </si>
  <si>
    <t>-  양수채권의 연체, 상환 등으로 인해 담보비율 130% 미달 시 익월 중 채권교체 실시 (본부장 전결)</t>
  </si>
  <si>
    <t>-  양도담보채권 샘플링하여 최초 실행내역 및 원리금 불입내역(최근 3개월) 확인</t>
  </si>
  <si>
    <t>-  중도상환수수료: 취급 후 15개월 내 스케쥴 외 상환 시 1%</t>
  </si>
</sst>
</file>

<file path=xl/styles.xml><?xml version="1.0" encoding="utf-8"?>
<styleSheet xmlns="http://schemas.openxmlformats.org/spreadsheetml/2006/main" xmlns:x14ac="http://schemas.microsoft.com/office/spreadsheetml/2009/9/ac" xmlns:mc="http://schemas.openxmlformats.org/markup-compatibility/2006" mc:Ignorable="x14ac">
  <numFmts count="3">
    <numFmt numFmtId="164" formatCode="#,##0%"/>
    <numFmt numFmtId="165" formatCode="#,##0.0%"/>
    <numFmt numFmtId="166" formatCode="#,##0.00%"/>
  </numFmts>
  <fonts count="2" x14ac:knownFonts="1">
    <font>
      <sz val="11"/>
      <color theme="1"/>
      <name val="Calibri"/>
      <family val="2"/>
      <scheme val="minor"/>
    </font>
    <font>
      <sz val="11"/>
      <color theme="1"/>
      <name val="Calibri"/>
      <family val="2"/>
    </font>
  </fonts>
  <fills count="3">
    <fill>
      <patternFill patternType="none"/>
    </fill>
    <fill>
      <patternFill patternType="gray125"/>
    </fill>
    <fill>
      <patternFill patternType="solid">
        <fgColor rgb="FFffff0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35">
    <xf xfId="0" numFmtId="0" borderId="0" fontId="0" fillId="0"/>
    <xf xfId="0" numFmtId="0" borderId="0" fontId="0" fillId="0" applyAlignment="1">
      <alignment horizontal="general"/>
    </xf>
    <xf xfId="0" numFmtId="3" applyNumberFormat="1" borderId="1" applyBorder="1" fontId="1" applyFont="1" fillId="0" applyAlignment="1">
      <alignment horizontal="left"/>
    </xf>
    <xf xfId="0" numFmtId="164" applyNumberFormat="1" borderId="0" fontId="0" fillId="0" applyAlignment="1">
      <alignment horizontal="right"/>
    </xf>
    <xf xfId="0" numFmtId="3" applyNumberFormat="1" borderId="1" applyBorder="1" fontId="1" applyFont="1" fillId="0" applyAlignment="1">
      <alignment horizontal="right"/>
    </xf>
    <xf xfId="0" numFmtId="164"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164" applyNumberFormat="1" borderId="0" fontId="0" fillId="0" applyAlignment="1">
      <alignment horizontal="right"/>
    </xf>
    <xf xfId="0" numFmtId="3" applyNumberFormat="1" borderId="0" fontId="0" fillId="0" applyAlignment="1">
      <alignment horizontal="right"/>
    </xf>
    <xf xfId="0" numFmtId="4" applyNumberFormat="1" borderId="0" fontId="0" fillId="0" applyAlignment="1">
      <alignment horizontal="general"/>
    </xf>
    <xf xfId="0" numFmtId="14" applyNumberFormat="1" borderId="0" fontId="0" fillId="0" applyAlignment="1">
      <alignment horizontal="general"/>
    </xf>
    <xf xfId="0" numFmtId="165" applyNumberFormat="1" borderId="1" applyBorder="1" fontId="1" applyFont="1" fillId="0" applyAlignment="1">
      <alignment horizontal="right"/>
    </xf>
    <xf xfId="0" numFmtId="14" applyNumberFormat="1" borderId="1" applyBorder="1" fontId="1" applyFont="1" fillId="0" applyAlignment="1">
      <alignment horizontal="left"/>
    </xf>
    <xf xfId="0" numFmtId="4" applyNumberFormat="1" borderId="1" applyBorder="1" fontId="1" applyFont="1" fillId="0" applyAlignment="1">
      <alignment horizontal="right"/>
    </xf>
    <xf xfId="0" numFmtId="4" applyNumberFormat="1" borderId="0" fontId="0" fillId="0" applyAlignment="1">
      <alignment horizontal="general"/>
    </xf>
    <xf xfId="0" numFmtId="14" applyNumberFormat="1" borderId="0" fontId="0" fillId="0" applyAlignment="1">
      <alignment horizontal="general"/>
    </xf>
    <xf xfId="0" numFmtId="165" applyNumberFormat="1" borderId="0" fontId="0" fillId="0" applyAlignment="1">
      <alignment horizontal="right"/>
    </xf>
    <xf xfId="0" numFmtId="165" applyNumberFormat="1" borderId="0" fontId="0" fillId="0" applyAlignment="1">
      <alignment horizontal="right"/>
    </xf>
    <xf xfId="0" numFmtId="4" applyNumberFormat="1" borderId="0" fontId="0" fillId="0" applyAlignment="1">
      <alignment horizontal="right"/>
    </xf>
    <xf xfId="0" numFmtId="3" applyNumberFormat="1" borderId="0" fontId="0" fillId="0" applyAlignment="1">
      <alignment horizontal="general"/>
    </xf>
    <xf xfId="0" numFmtId="4" applyNumberFormat="1" borderId="1" applyBorder="1" fontId="1" applyFont="1" fillId="0" applyAlignment="1">
      <alignment horizontal="left"/>
    </xf>
    <xf xfId="0" numFmtId="4" applyNumberFormat="1" borderId="0" fontId="0" fillId="0" applyAlignment="1">
      <alignment horizontal="right"/>
    </xf>
    <xf xfId="0" numFmtId="3" applyNumberFormat="1" borderId="0" fontId="0" fillId="0" applyAlignment="1">
      <alignment horizontal="general"/>
    </xf>
    <xf xfId="0" numFmtId="166" applyNumberFormat="1" borderId="0" fontId="0" fillId="0" applyAlignment="1">
      <alignment horizontal="general"/>
    </xf>
    <xf xfId="0" numFmtId="166" applyNumberFormat="1" borderId="2" applyBorder="1" fontId="1" applyFont="1" fillId="2" applyFill="1" applyAlignment="1">
      <alignment horizontal="right"/>
    </xf>
    <xf xfId="0" numFmtId="166" applyNumberFormat="1" borderId="1" applyBorder="1" fontId="1" applyFont="1" fillId="0" applyAlignment="1">
      <alignment horizontal="right"/>
    </xf>
    <xf xfId="0" numFmtId="3" applyNumberFormat="1" borderId="2" applyBorder="1" fontId="1" applyFont="1" fillId="2" applyFill="1" applyAlignment="1">
      <alignment horizontal="right"/>
    </xf>
    <xf xfId="0" numFmtId="166" applyNumberFormat="1" borderId="0" fontId="0" fillId="0" applyAlignment="1">
      <alignment horizontal="general"/>
    </xf>
    <xf xfId="0" numFmtId="165" applyNumberFormat="1" borderId="0" fontId="0" fillId="0" applyAlignment="1">
      <alignment horizontal="general"/>
    </xf>
    <xf xfId="0" numFmtId="165" applyNumberFormat="1" borderId="1" applyBorder="1" fontId="1" applyFont="1" fillId="0" applyAlignment="1">
      <alignment horizontal="left"/>
    </xf>
    <xf xfId="0" numFmtId="165" applyNumberFormat="1" borderId="0" fontId="0" fillId="0" applyAlignment="1">
      <alignment horizontal="general"/>
    </xf>
    <xf xfId="0" numFmtId="164" applyNumberFormat="1" borderId="0" fontId="0" fillId="0" applyAlignment="1">
      <alignment horizontal="general"/>
    </xf>
    <xf xfId="0" numFmtId="164" applyNumberFormat="1" borderId="0" fontId="0" fillId="0" applyAlignment="1">
      <alignment horizontal="general"/>
    </xf>
    <xf xfId="0" numFmtId="164" applyNumberFormat="1" borderId="1" applyBorder="1" fontId="1" applyFont="1"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worksheets/sheet12.xml" Type="http://schemas.openxmlformats.org/officeDocument/2006/relationships/worksheet" Id="rId12"/><Relationship Target="worksheets/sheet13.xml" Type="http://schemas.openxmlformats.org/officeDocument/2006/relationships/worksheet" Id="rId13"/><Relationship Target="worksheets/sheet14.xml" Type="http://schemas.openxmlformats.org/officeDocument/2006/relationships/worksheet" Id="rId14"/><Relationship Target="worksheets/sheet15.xml" Type="http://schemas.openxmlformats.org/officeDocument/2006/relationships/worksheet" Id="rId15"/><Relationship Target="worksheets/sheet16.xml" Type="http://schemas.openxmlformats.org/officeDocument/2006/relationships/worksheet" Id="rId16"/><Relationship Target="worksheets/sheet17.xml" Type="http://schemas.openxmlformats.org/officeDocument/2006/relationships/worksheet" Id="rId17"/><Relationship Target="worksheets/sheet18.xml" Type="http://schemas.openxmlformats.org/officeDocument/2006/relationships/worksheet" Id="rId18"/><Relationship Target="worksheets/sheet19.xml" Type="http://schemas.openxmlformats.org/officeDocument/2006/relationships/worksheet" Id="rId19"/><Relationship Target="worksheets/sheet20.xml" Type="http://schemas.openxmlformats.org/officeDocument/2006/relationships/worksheet" Id="rId20"/><Relationship Target="worksheets/sheet21.xml" Type="http://schemas.openxmlformats.org/officeDocument/2006/relationships/worksheet" Id="rId21"/><Relationship Target="worksheets/sheet22.xml" Type="http://schemas.openxmlformats.org/officeDocument/2006/relationships/worksheet" Id="rId22"/><Relationship Target="worksheets/sheet23.xml" Type="http://schemas.openxmlformats.org/officeDocument/2006/relationships/worksheet" Id="rId23"/><Relationship Target="worksheets/sheet24.xml" Type="http://schemas.openxmlformats.org/officeDocument/2006/relationships/worksheet" Id="rId24"/><Relationship Target="worksheets/sheet25.xml" Type="http://schemas.openxmlformats.org/officeDocument/2006/relationships/worksheet" Id="rId25"/><Relationship Target="worksheets/sheet26.xml" Type="http://schemas.openxmlformats.org/officeDocument/2006/relationships/worksheet" Id="rId26"/><Relationship Target="worksheets/sheet27.xml" Type="http://schemas.openxmlformats.org/officeDocument/2006/relationships/worksheet" Id="rId27"/><Relationship Target="worksheets/sheet28.xml" Type="http://schemas.openxmlformats.org/officeDocument/2006/relationships/worksheet" Id="rId28"/><Relationship Target="worksheets/sheet29.xml" Type="http://schemas.openxmlformats.org/officeDocument/2006/relationships/worksheet" Id="rId29"/><Relationship Target="worksheets/sheet30.xml" Type="http://schemas.openxmlformats.org/officeDocument/2006/relationships/worksheet" Id="rId30"/><Relationship Target="sharedStrings.xml" Type="http://schemas.openxmlformats.org/officeDocument/2006/relationships/sharedStrings" Id="rId31"/><Relationship Target="styles.xml" Type="http://schemas.openxmlformats.org/officeDocument/2006/relationships/styles" Id="rId32"/><Relationship Target="theme/theme1.xml" Type="http://schemas.openxmlformats.org/officeDocument/2006/relationships/theme" Id="rId33"/></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5"/>
  <sheetViews>
    <sheetView workbookViewId="0"/>
  </sheetViews>
  <sheetFormatPr defaultRowHeight="15" x14ac:dyDescent="0.25"/>
  <cols>
    <col min="1" max="1" style="6" width="13.576428571428572" customWidth="1" bestFit="1"/>
    <col min="2" max="2" style="15" width="13.576428571428572" customWidth="1" bestFit="1"/>
    <col min="3" max="3" style="6" width="13.576428571428572" customWidth="1" bestFit="1"/>
    <col min="4" max="4" style="15" width="13.576428571428572" customWidth="1" bestFit="1"/>
  </cols>
  <sheetData>
    <row x14ac:dyDescent="0.25" r="1" customHeight="1" ht="18.75">
      <c r="A1" s="1" t="s">
        <v>342</v>
      </c>
      <c r="B1" s="10"/>
      <c r="C1" s="1"/>
      <c r="D1" s="10"/>
    </row>
    <row x14ac:dyDescent="0.25" r="2" customHeight="1" ht="18.75">
      <c r="A2" s="1"/>
      <c r="B2" s="10"/>
      <c r="C2" s="1"/>
      <c r="D2" s="10"/>
    </row>
    <row x14ac:dyDescent="0.25" r="3" customHeight="1" ht="18.75">
      <c r="A3" s="1" t="s">
        <v>193</v>
      </c>
      <c r="B3" s="10" t="s">
        <v>319</v>
      </c>
      <c r="C3" s="1" t="s">
        <v>343</v>
      </c>
      <c r="D3" s="10" t="s">
        <v>344</v>
      </c>
    </row>
    <row x14ac:dyDescent="0.25" r="4" customHeight="1" ht="18.75">
      <c r="A4" s="1" t="s">
        <v>246</v>
      </c>
      <c r="B4" s="10" t="s">
        <v>345</v>
      </c>
      <c r="C4" s="1" t="s">
        <v>346</v>
      </c>
      <c r="D4" s="10" t="s">
        <v>347</v>
      </c>
    </row>
    <row x14ac:dyDescent="0.25" r="5" customHeight="1" ht="18.75">
      <c r="A5" s="1" t="s">
        <v>348</v>
      </c>
      <c r="B5" s="14">
        <v>0.078</v>
      </c>
      <c r="C5" s="1" t="s">
        <v>114</v>
      </c>
      <c r="D5" s="10" t="s">
        <v>349</v>
      </c>
    </row>
    <row x14ac:dyDescent="0.25" r="6" customHeight="1" ht="18.75">
      <c r="A6" s="1" t="s">
        <v>350</v>
      </c>
      <c r="B6" s="10" t="s">
        <v>351</v>
      </c>
      <c r="C6" s="1" t="s">
        <v>352</v>
      </c>
      <c r="D6" s="10" t="s">
        <v>353</v>
      </c>
    </row>
    <row x14ac:dyDescent="0.25" r="7" customHeight="1" ht="18.75">
      <c r="A7" s="1" t="s">
        <v>354</v>
      </c>
      <c r="B7" s="10" t="s">
        <v>74</v>
      </c>
      <c r="C7" s="1" t="s">
        <v>355</v>
      </c>
      <c r="D7" s="14">
        <v>0.01</v>
      </c>
    </row>
    <row x14ac:dyDescent="0.25" r="8" customHeight="1" ht="18.75">
      <c r="A8" s="1" t="s">
        <v>356</v>
      </c>
      <c r="B8" s="10" t="s">
        <v>357</v>
      </c>
      <c r="C8" s="1" t="s">
        <v>358</v>
      </c>
      <c r="D8" s="10" t="s">
        <v>359</v>
      </c>
    </row>
    <row x14ac:dyDescent="0.25" r="9" customHeight="1" ht="18.75">
      <c r="A9" s="1" t="s">
        <v>115</v>
      </c>
      <c r="B9" s="10" t="s">
        <v>360</v>
      </c>
      <c r="C9" s="1"/>
      <c r="D9" s="10"/>
    </row>
    <row x14ac:dyDescent="0.25" r="10" customHeight="1" ht="18.75">
      <c r="A10" s="1" t="s">
        <v>361</v>
      </c>
      <c r="B10" s="10" t="s">
        <v>362</v>
      </c>
      <c r="C10" s="1"/>
      <c r="D10" s="10"/>
    </row>
    <row x14ac:dyDescent="0.25" r="11" customHeight="1" ht="18.75">
      <c r="A11" s="1"/>
      <c r="B11" s="10" t="s">
        <v>363</v>
      </c>
      <c r="C11" s="1"/>
      <c r="D11" s="10"/>
    </row>
    <row x14ac:dyDescent="0.25" r="12" customHeight="1" ht="18.75">
      <c r="A12" s="1" t="s">
        <v>364</v>
      </c>
      <c r="B12" s="10" t="s">
        <v>365</v>
      </c>
      <c r="C12" s="1"/>
      <c r="D12" s="10"/>
    </row>
    <row x14ac:dyDescent="0.25" r="13" customHeight="1" ht="18.75">
      <c r="A13" s="1"/>
      <c r="B13" s="10" t="s">
        <v>366</v>
      </c>
      <c r="C13" s="1"/>
      <c r="D13" s="10"/>
    </row>
    <row x14ac:dyDescent="0.25" r="14" customHeight="1" ht="18.75">
      <c r="A14" s="1"/>
      <c r="B14" s="10" t="s">
        <v>367</v>
      </c>
      <c r="C14" s="1"/>
      <c r="D14" s="10"/>
    </row>
    <row x14ac:dyDescent="0.25" r="15" customHeight="1" ht="18.75">
      <c r="A15" s="1"/>
      <c r="B15" s="10" t="s">
        <v>368</v>
      </c>
      <c r="C15" s="1"/>
      <c r="D15"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6"/>
  <sheetViews>
    <sheetView workbookViewId="0"/>
  </sheetViews>
  <sheetFormatPr defaultRowHeight="15" x14ac:dyDescent="0.25"/>
  <cols>
    <col min="1" max="1" style="6" width="13.576428571428572" customWidth="1" bestFit="1"/>
    <col min="2" max="2" style="6" width="13.576428571428572" customWidth="1" bestFit="1"/>
    <col min="3" max="3" style="6" width="13.576428571428572" customWidth="1" bestFit="1"/>
  </cols>
  <sheetData>
    <row x14ac:dyDescent="0.25" r="1" customHeight="1" ht="18.75">
      <c r="A1" s="1" t="s">
        <v>326</v>
      </c>
      <c r="B1" s="1" t="s">
        <v>327</v>
      </c>
      <c r="C1" s="1"/>
    </row>
    <row x14ac:dyDescent="0.25" r="2" customHeight="1" ht="18.75">
      <c r="A2" s="1"/>
      <c r="B2" s="1" t="s">
        <v>328</v>
      </c>
      <c r="C2" s="1"/>
    </row>
    <row x14ac:dyDescent="0.25" r="3" customHeight="1" ht="18.75">
      <c r="A3" s="1"/>
      <c r="B3" s="1" t="s">
        <v>329</v>
      </c>
      <c r="C3" s="1"/>
    </row>
    <row x14ac:dyDescent="0.25" r="4" customHeight="1" ht="18.75">
      <c r="A4" s="1"/>
      <c r="B4" s="1" t="s">
        <v>330</v>
      </c>
      <c r="C4" s="1"/>
    </row>
    <row x14ac:dyDescent="0.25" r="5" customHeight="1" ht="18.75">
      <c r="A5" s="1"/>
      <c r="B5" s="1"/>
      <c r="C5" s="1"/>
    </row>
    <row x14ac:dyDescent="0.25" r="6" customHeight="1" ht="18.75">
      <c r="A6" s="1" t="s">
        <v>331</v>
      </c>
      <c r="B6" s="1" t="s">
        <v>332</v>
      </c>
      <c r="C6" s="1"/>
    </row>
    <row x14ac:dyDescent="0.25" r="7" customHeight="1" ht="18.75">
      <c r="A7" s="1"/>
      <c r="B7" s="1" t="s">
        <v>333</v>
      </c>
      <c r="C7" s="1"/>
    </row>
    <row x14ac:dyDescent="0.25" r="8" customHeight="1" ht="18.75">
      <c r="A8" s="1"/>
      <c r="B8" s="1"/>
      <c r="C8" s="1"/>
    </row>
    <row x14ac:dyDescent="0.25" r="9" customHeight="1" ht="18.75">
      <c r="A9" s="1"/>
      <c r="B9" s="1"/>
      <c r="C9" s="1"/>
    </row>
    <row x14ac:dyDescent="0.25" r="10" customHeight="1" ht="18.75">
      <c r="A10" s="1" t="s">
        <v>334</v>
      </c>
      <c r="B10" s="1" t="s">
        <v>309</v>
      </c>
      <c r="C10" s="1" t="s">
        <v>185</v>
      </c>
    </row>
    <row x14ac:dyDescent="0.25" r="11" customHeight="1" ht="18.75">
      <c r="A11" s="1"/>
      <c r="B11" s="1" t="s">
        <v>335</v>
      </c>
      <c r="C11" s="1" t="s">
        <v>336</v>
      </c>
    </row>
    <row x14ac:dyDescent="0.25" r="12" customHeight="1" ht="18.75">
      <c r="A12" s="1"/>
      <c r="B12" s="1"/>
      <c r="C12" s="1" t="s">
        <v>337</v>
      </c>
    </row>
    <row x14ac:dyDescent="0.25" r="13" customHeight="1" ht="18.75">
      <c r="A13" s="1"/>
      <c r="B13" s="1"/>
      <c r="C13" s="1" t="s">
        <v>338</v>
      </c>
    </row>
    <row x14ac:dyDescent="0.25" r="14" customHeight="1" ht="18.75">
      <c r="A14" s="1"/>
      <c r="B14" s="1"/>
      <c r="C14" s="1" t="s">
        <v>339</v>
      </c>
    </row>
    <row x14ac:dyDescent="0.25" r="15" customHeight="1" ht="18.75">
      <c r="A15" s="1"/>
      <c r="B15" s="1"/>
      <c r="C15" s="1" t="s">
        <v>340</v>
      </c>
    </row>
    <row x14ac:dyDescent="0.25" r="16" customHeight="1" ht="18.75">
      <c r="A16" s="1"/>
      <c r="B16" s="1" t="s">
        <v>315</v>
      </c>
      <c r="C16" s="1" t="s">
        <v>341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5"/>
  <sheetViews>
    <sheetView workbookViewId="0"/>
  </sheetViews>
  <sheetFormatPr defaultRowHeight="15" x14ac:dyDescent="0.25"/>
  <cols>
    <col min="1" max="1" style="6" width="13.576428571428572" customWidth="1" bestFit="1"/>
    <col min="2" max="2" style="6" width="13.576428571428572" customWidth="1" bestFit="1"/>
    <col min="3" max="3" style="6" width="13.576428571428572" customWidth="1" bestFit="1"/>
    <col min="4" max="4" style="16" width="13.576428571428572" customWidth="1" bestFit="1"/>
  </cols>
  <sheetData>
    <row x14ac:dyDescent="0.25" r="1" customHeight="1" ht="18.75">
      <c r="A1" s="1" t="s">
        <v>193</v>
      </c>
      <c r="B1" s="1" t="s">
        <v>319</v>
      </c>
      <c r="C1" s="1" t="s">
        <v>195</v>
      </c>
      <c r="D1" s="11" t="s">
        <v>320</v>
      </c>
    </row>
    <row x14ac:dyDescent="0.25" r="2" customHeight="1" ht="18.75">
      <c r="A2" s="1" t="s">
        <v>197</v>
      </c>
      <c r="B2" s="1" t="s">
        <v>198</v>
      </c>
      <c r="C2" s="1" t="s">
        <v>199</v>
      </c>
      <c r="D2" s="11" t="s">
        <v>200</v>
      </c>
    </row>
    <row x14ac:dyDescent="0.25" r="3" customHeight="1" ht="18.75">
      <c r="A3" s="1" t="s">
        <v>201</v>
      </c>
      <c r="B3" s="1" t="s">
        <v>321</v>
      </c>
      <c r="C3" s="1" t="s">
        <v>203</v>
      </c>
      <c r="D3" s="13">
        <v>41988</v>
      </c>
    </row>
    <row x14ac:dyDescent="0.25" r="4" customHeight="1" ht="18.75">
      <c r="A4" s="1" t="s">
        <v>204</v>
      </c>
      <c r="B4" s="1" t="s">
        <v>322</v>
      </c>
      <c r="C4" s="1" t="s">
        <v>206</v>
      </c>
      <c r="D4" s="11" t="s">
        <v>323</v>
      </c>
    </row>
    <row x14ac:dyDescent="0.25" r="5" customHeight="1" ht="18.75">
      <c r="A5" s="1" t="s">
        <v>208</v>
      </c>
      <c r="B5" s="1" t="s">
        <v>324</v>
      </c>
      <c r="C5" s="1" t="s">
        <v>210</v>
      </c>
      <c r="D5" s="11" t="s">
        <v>325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6"/>
  <sheetViews>
    <sheetView workbookViewId="0"/>
  </sheetViews>
  <sheetFormatPr defaultRowHeight="15" x14ac:dyDescent="0.25"/>
  <cols>
    <col min="1" max="1" style="6" width="13.576428571428572" customWidth="1" bestFit="1"/>
    <col min="2" max="2" style="7" width="13.576428571428572" customWidth="1" bestFit="1"/>
    <col min="3" max="3" style="7" width="11.290714285714287" customWidth="1" bestFit="1"/>
    <col min="4" max="4" style="33" width="13.576428571428572" customWidth="1" bestFit="1"/>
    <col min="5" max="5" style="6" width="13.576428571428572" customWidth="1" bestFit="1"/>
    <col min="6" max="6" style="6" width="13.576428571428572" customWidth="1" bestFit="1"/>
  </cols>
  <sheetData>
    <row x14ac:dyDescent="0.25" r="1" customHeight="1" ht="18.75">
      <c r="A1" s="1" t="s">
        <v>180</v>
      </c>
      <c r="B1" s="9" t="s">
        <v>181</v>
      </c>
      <c r="C1" s="9" t="s">
        <v>182</v>
      </c>
      <c r="D1" s="32" t="s">
        <v>183</v>
      </c>
      <c r="E1" s="1" t="s">
        <v>184</v>
      </c>
      <c r="F1" s="1"/>
    </row>
    <row x14ac:dyDescent="0.25" r="2" customHeight="1" ht="18.75">
      <c r="A2" s="1" t="s">
        <v>185</v>
      </c>
      <c r="B2" s="4">
        <v>73688</v>
      </c>
      <c r="C2" s="4">
        <v>368440000</v>
      </c>
      <c r="D2" s="5">
        <v>0.437</v>
      </c>
      <c r="E2" s="1" t="s">
        <v>317</v>
      </c>
      <c r="F2" s="26"/>
    </row>
    <row x14ac:dyDescent="0.25" r="3" customHeight="1" ht="18.75">
      <c r="A3" s="1" t="s">
        <v>194</v>
      </c>
      <c r="B3" s="4">
        <v>48440</v>
      </c>
      <c r="C3" s="4">
        <v>242200000</v>
      </c>
      <c r="D3" s="5">
        <v>0.288</v>
      </c>
      <c r="E3" s="1"/>
      <c r="F3" s="26"/>
    </row>
    <row x14ac:dyDescent="0.25" r="4" customHeight="1" ht="18.75">
      <c r="A4" s="1" t="s">
        <v>189</v>
      </c>
      <c r="B4" s="4">
        <v>46312</v>
      </c>
      <c r="C4" s="4">
        <v>231560000</v>
      </c>
      <c r="D4" s="5">
        <v>0.275</v>
      </c>
      <c r="E4" s="1"/>
      <c r="F4" s="26"/>
    </row>
    <row x14ac:dyDescent="0.25" r="5" customHeight="1" ht="18.75">
      <c r="A5" s="1" t="s">
        <v>194</v>
      </c>
      <c r="B5" s="4">
        <v>60000</v>
      </c>
      <c r="C5" s="4">
        <v>300000000</v>
      </c>
      <c r="D5" s="32" t="s">
        <v>74</v>
      </c>
      <c r="E5" s="1" t="s">
        <v>318</v>
      </c>
      <c r="F5" s="26"/>
    </row>
    <row x14ac:dyDescent="0.25" r="6" customHeight="1" ht="18.75">
      <c r="A6" s="1" t="s">
        <v>9</v>
      </c>
      <c r="B6" s="4">
        <v>228440</v>
      </c>
      <c r="C6" s="4">
        <v>1142200000</v>
      </c>
      <c r="D6" s="32" t="s">
        <v>74</v>
      </c>
      <c r="E6" s="1" t="s">
        <v>74</v>
      </c>
      <c r="F6" s="2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6"/>
  <sheetViews>
    <sheetView workbookViewId="0"/>
  </sheetViews>
  <sheetFormatPr defaultRowHeight="15" x14ac:dyDescent="0.25"/>
  <cols>
    <col min="1" max="1" style="6" width="13.576428571428572" customWidth="1" bestFit="1"/>
    <col min="2" max="2" style="6" width="13.576428571428572" customWidth="1" bestFit="1"/>
  </cols>
  <sheetData>
    <row x14ac:dyDescent="0.25" r="1" customHeight="1" ht="18.75">
      <c r="A1" s="1" t="s">
        <v>309</v>
      </c>
      <c r="B1" s="1" t="s">
        <v>189</v>
      </c>
    </row>
    <row x14ac:dyDescent="0.25" r="2" customHeight="1" ht="18.75">
      <c r="A2" s="1" t="s">
        <v>310</v>
      </c>
      <c r="B2" s="1" t="s">
        <v>311</v>
      </c>
    </row>
    <row x14ac:dyDescent="0.25" r="3" customHeight="1" ht="18.75">
      <c r="A3" s="1"/>
      <c r="B3" s="1" t="s">
        <v>312</v>
      </c>
    </row>
    <row x14ac:dyDescent="0.25" r="4" customHeight="1" ht="18.75">
      <c r="A4" s="1"/>
      <c r="B4" s="1" t="s">
        <v>313</v>
      </c>
    </row>
    <row x14ac:dyDescent="0.25" r="5" customHeight="1" ht="18.75">
      <c r="A5" s="1"/>
      <c r="B5" s="1" t="s">
        <v>314</v>
      </c>
    </row>
    <row x14ac:dyDescent="0.25" r="6" customHeight="1" ht="18.75">
      <c r="A6" s="1" t="s">
        <v>315</v>
      </c>
      <c r="B6" s="1" t="s">
        <v>316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6"/>
  <sheetViews>
    <sheetView workbookViewId="0" tabSelected="1"/>
  </sheetViews>
  <sheetFormatPr defaultRowHeight="15" x14ac:dyDescent="0.25"/>
  <cols>
    <col min="1" max="1" style="6" width="13.576428571428572" customWidth="1" bestFit="1"/>
    <col min="2" max="2" style="23" width="8.719285714285713" customWidth="1" bestFit="1"/>
    <col min="3" max="3" style="23" width="13.576428571428572" customWidth="1" bestFit="1"/>
    <col min="4" max="4" style="23" width="13.576428571428572" customWidth="1" bestFit="1"/>
    <col min="5" max="5" style="23" width="13.576428571428572" customWidth="1" bestFit="1"/>
  </cols>
  <sheetData>
    <row x14ac:dyDescent="0.25" r="1" customHeight="1" ht="18.75">
      <c r="A1" s="1" t="s">
        <v>240</v>
      </c>
      <c r="B1" s="20" t="s">
        <v>123</v>
      </c>
      <c r="C1" s="20" t="s">
        <v>124</v>
      </c>
      <c r="D1" s="14">
        <v>2023.12</v>
      </c>
      <c r="E1" s="14">
        <v>2024.05</v>
      </c>
    </row>
    <row x14ac:dyDescent="0.25" r="2" customHeight="1" ht="18.75">
      <c r="A2" s="1" t="s">
        <v>99</v>
      </c>
      <c r="B2" s="4">
        <v>189454</v>
      </c>
      <c r="C2" s="4">
        <v>171373</v>
      </c>
      <c r="D2" s="4">
        <v>143929</v>
      </c>
      <c r="E2" s="4">
        <v>63173</v>
      </c>
    </row>
    <row x14ac:dyDescent="0.25" r="3" customHeight="1" ht="18.75">
      <c r="A3" s="1" t="s">
        <v>171</v>
      </c>
      <c r="B3" s="4">
        <v>4679</v>
      </c>
      <c r="C3" s="4">
        <v>1379</v>
      </c>
      <c r="D3" s="4">
        <v>2860</v>
      </c>
      <c r="E3" s="4">
        <v>2036</v>
      </c>
    </row>
    <row x14ac:dyDescent="0.25" r="4" customHeight="1" ht="18.75">
      <c r="A4" s="1" t="s">
        <v>172</v>
      </c>
      <c r="B4" s="4">
        <f>B5+B6</f>
      </c>
      <c r="C4" s="4">
        <f>C5+C6</f>
      </c>
      <c r="D4" s="4">
        <f>D5+D6</f>
      </c>
      <c r="E4" s="4">
        <f>E5+E6</f>
      </c>
    </row>
    <row x14ac:dyDescent="0.25" r="5" customHeight="1" ht="18.75">
      <c r="A5" s="1" t="s">
        <v>173</v>
      </c>
      <c r="B5" s="4">
        <v>182577</v>
      </c>
      <c r="C5" s="4">
        <v>152253</v>
      </c>
      <c r="D5" s="4">
        <v>119583</v>
      </c>
      <c r="E5" s="4">
        <v>43809</v>
      </c>
    </row>
    <row x14ac:dyDescent="0.25" r="6" customHeight="1" ht="18.75">
      <c r="A6" s="1" t="s">
        <v>174</v>
      </c>
      <c r="B6" s="4">
        <v>-8673</v>
      </c>
      <c r="C6" s="4">
        <v>-7554</v>
      </c>
      <c r="D6" s="4">
        <v>-5768</v>
      </c>
      <c r="E6" s="4">
        <v>-8353</v>
      </c>
    </row>
    <row x14ac:dyDescent="0.25" r="7" customHeight="1" ht="18.75">
      <c r="A7" s="1" t="s">
        <v>175</v>
      </c>
      <c r="B7" s="4">
        <v>10871</v>
      </c>
      <c r="C7" s="4">
        <v>25295</v>
      </c>
      <c r="D7" s="4">
        <v>27254</v>
      </c>
      <c r="E7" s="4">
        <v>25681</v>
      </c>
    </row>
    <row x14ac:dyDescent="0.25" r="8" customHeight="1" ht="18.75">
      <c r="A8" s="1" t="s">
        <v>102</v>
      </c>
      <c r="B8" s="4">
        <f>SUM(B9:B10)</f>
      </c>
      <c r="C8" s="4">
        <f>SUM(C9:C10)</f>
      </c>
      <c r="D8" s="4">
        <f>SUM(D9:D10)</f>
      </c>
      <c r="E8" s="4">
        <f>SUM(E9:E10)</f>
      </c>
    </row>
    <row x14ac:dyDescent="0.25" r="9" customHeight="1" ht="18.75">
      <c r="A9" s="1" t="s">
        <v>176</v>
      </c>
      <c r="B9" s="4">
        <v>165498</v>
      </c>
      <c r="C9" s="4">
        <v>146055</v>
      </c>
      <c r="D9" s="4">
        <v>118567</v>
      </c>
      <c r="E9" s="4">
        <v>40057</v>
      </c>
    </row>
    <row x14ac:dyDescent="0.25" r="10" customHeight="1" ht="18.75">
      <c r="A10" s="1" t="s">
        <v>177</v>
      </c>
      <c r="B10" s="4">
        <v>3344</v>
      </c>
      <c r="C10" s="4">
        <v>2256</v>
      </c>
      <c r="D10" s="4">
        <v>2158</v>
      </c>
      <c r="E10" s="4">
        <v>1167</v>
      </c>
    </row>
    <row x14ac:dyDescent="0.25" r="11" customHeight="1" ht="18.75">
      <c r="A11" s="1" t="s">
        <v>100</v>
      </c>
      <c r="B11" s="4">
        <f>SUM(B12:B14)</f>
      </c>
      <c r="C11" s="4">
        <f>SUM(C12:C14)</f>
      </c>
      <c r="D11" s="4">
        <f>SUM(D12:D14)</f>
      </c>
      <c r="E11" s="4">
        <f>SUM(E12:E14)</f>
      </c>
    </row>
    <row x14ac:dyDescent="0.25" r="12" customHeight="1" ht="18.75">
      <c r="A12" s="1" t="s">
        <v>178</v>
      </c>
      <c r="B12" s="4">
        <v>1142</v>
      </c>
      <c r="C12" s="4">
        <v>1142</v>
      </c>
      <c r="D12" s="4">
        <v>1142</v>
      </c>
      <c r="E12" s="4">
        <v>1142</v>
      </c>
    </row>
    <row x14ac:dyDescent="0.25" r="13" customHeight="1" ht="18.75">
      <c r="A13" s="1" t="s">
        <v>277</v>
      </c>
      <c r="B13" s="4">
        <v>2694</v>
      </c>
      <c r="C13" s="4">
        <v>2694</v>
      </c>
      <c r="D13" s="4">
        <v>2694</v>
      </c>
      <c r="E13" s="4">
        <v>2694</v>
      </c>
    </row>
    <row x14ac:dyDescent="0.25" r="14" customHeight="1" ht="18.75">
      <c r="A14" s="1" t="s">
        <v>179</v>
      </c>
      <c r="B14" s="4">
        <v>16776</v>
      </c>
      <c r="C14" s="4">
        <v>19226</v>
      </c>
      <c r="D14" s="4">
        <v>19368</v>
      </c>
      <c r="E14" s="4">
        <v>18113</v>
      </c>
    </row>
    <row x14ac:dyDescent="0.25" r="15" customHeight="1" ht="18.75">
      <c r="A15" s="1" t="s">
        <v>308</v>
      </c>
      <c r="B15" s="4">
        <f>B2-B8-B11</f>
      </c>
      <c r="C15" s="4">
        <f>C2-C8-C11</f>
      </c>
      <c r="D15" s="4">
        <f>D2-D8-D11</f>
      </c>
      <c r="E15" s="4">
        <f>E2-E8-E11</f>
      </c>
    </row>
    <row x14ac:dyDescent="0.25" r="16" customHeight="1" ht="18.75">
      <c r="A16" s="1"/>
      <c r="B16" s="4"/>
      <c r="C16" s="4"/>
      <c r="D16" s="4"/>
      <c r="E16"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6"/>
  <sheetViews>
    <sheetView workbookViewId="0"/>
  </sheetViews>
  <sheetFormatPr defaultRowHeight="15" x14ac:dyDescent="0.25"/>
  <cols>
    <col min="1" max="1" style="6" width="13.576428571428572" customWidth="1" bestFit="1"/>
    <col min="2" max="2" style="23" width="13.576428571428572" customWidth="1" bestFit="1"/>
    <col min="3" max="3" style="23" width="13.576428571428572" customWidth="1" bestFit="1"/>
    <col min="4" max="4" style="23" width="13.576428571428572" customWidth="1" bestFit="1"/>
    <col min="5" max="5" style="23" width="13.576428571428572" customWidth="1" bestFit="1"/>
  </cols>
  <sheetData>
    <row x14ac:dyDescent="0.25" r="1" customHeight="1" ht="18.75">
      <c r="A1" s="1" t="s">
        <v>240</v>
      </c>
      <c r="B1" s="20" t="s">
        <v>123</v>
      </c>
      <c r="C1" s="20" t="s">
        <v>124</v>
      </c>
      <c r="D1" s="14">
        <v>2023.12</v>
      </c>
      <c r="E1" s="14">
        <v>2024.05</v>
      </c>
    </row>
    <row x14ac:dyDescent="0.25" r="2" customHeight="1" ht="18.75">
      <c r="A2" s="1" t="s">
        <v>155</v>
      </c>
      <c r="B2" s="4">
        <f>SUM(B3:B4)</f>
      </c>
      <c r="C2" s="4">
        <f>SUM(C3:C4)</f>
      </c>
      <c r="D2" s="4">
        <f>SUM(D3:D4)</f>
      </c>
      <c r="E2" s="4">
        <f>SUM(E3:E4)</f>
      </c>
    </row>
    <row x14ac:dyDescent="0.25" r="3" customHeight="1" ht="18.75">
      <c r="A3" s="1" t="s">
        <v>156</v>
      </c>
      <c r="B3" s="4">
        <v>31360</v>
      </c>
      <c r="C3" s="4">
        <v>30944</v>
      </c>
      <c r="D3" s="4">
        <v>23177</v>
      </c>
      <c r="E3" s="4">
        <v>3887</v>
      </c>
    </row>
    <row x14ac:dyDescent="0.25" r="4" customHeight="1" ht="18.75">
      <c r="A4" s="1" t="s">
        <v>301</v>
      </c>
      <c r="B4" s="4">
        <v>2717</v>
      </c>
      <c r="C4" s="4">
        <v>2692</v>
      </c>
      <c r="D4" s="4">
        <v>1613</v>
      </c>
      <c r="E4" s="4">
        <v>1652</v>
      </c>
    </row>
    <row x14ac:dyDescent="0.25" r="5" customHeight="1" ht="18.75">
      <c r="A5" s="1" t="s">
        <v>159</v>
      </c>
      <c r="B5" s="4">
        <f>SUM(B6:B10)</f>
      </c>
      <c r="C5" s="4">
        <f>SUM(C6:C10)</f>
      </c>
      <c r="D5" s="4">
        <f>SUM(D6:D10)</f>
      </c>
      <c r="E5" s="4">
        <f>SUM(E6:E10)</f>
      </c>
    </row>
    <row x14ac:dyDescent="0.25" r="6" customHeight="1" ht="18.75">
      <c r="A6" s="1" t="s">
        <v>160</v>
      </c>
      <c r="B6" s="4">
        <v>9544</v>
      </c>
      <c r="C6" s="4">
        <v>10396</v>
      </c>
      <c r="D6" s="4">
        <v>9588</v>
      </c>
      <c r="E6" s="4">
        <v>1680</v>
      </c>
    </row>
    <row x14ac:dyDescent="0.25" r="7" customHeight="1" ht="18.75">
      <c r="A7" s="1" t="s">
        <v>302</v>
      </c>
      <c r="B7" s="4">
        <v>6442</v>
      </c>
      <c r="C7" s="4">
        <v>9187</v>
      </c>
      <c r="D7" s="4">
        <v>8900</v>
      </c>
      <c r="E7" s="4">
        <v>2643</v>
      </c>
    </row>
    <row x14ac:dyDescent="0.25" r="8" customHeight="1" ht="18.75">
      <c r="A8" s="1" t="s">
        <v>303</v>
      </c>
      <c r="B8" s="2" t="s">
        <v>74</v>
      </c>
      <c r="C8" s="2" t="s">
        <v>74</v>
      </c>
      <c r="D8" s="2" t="s">
        <v>74</v>
      </c>
      <c r="E8" s="2" t="s">
        <v>74</v>
      </c>
    </row>
    <row x14ac:dyDescent="0.25" r="9" customHeight="1" ht="18.75">
      <c r="A9" s="1" t="s">
        <v>304</v>
      </c>
      <c r="B9" s="4">
        <v>5765</v>
      </c>
      <c r="C9" s="4">
        <v>6456</v>
      </c>
      <c r="D9" s="4">
        <v>5239</v>
      </c>
      <c r="E9" s="4">
        <v>2259</v>
      </c>
    </row>
    <row x14ac:dyDescent="0.25" r="10" customHeight="1" ht="18.75">
      <c r="A10" s="1" t="s">
        <v>305</v>
      </c>
      <c r="B10" s="4">
        <v>5528</v>
      </c>
      <c r="C10" s="4">
        <v>2533</v>
      </c>
      <c r="D10" s="4">
        <v>747</v>
      </c>
      <c r="E10" s="4">
        <v>295</v>
      </c>
    </row>
    <row x14ac:dyDescent="0.25" r="11" customHeight="1" ht="18.75">
      <c r="A11" s="1" t="s">
        <v>166</v>
      </c>
      <c r="B11" s="4">
        <f>B2-B5</f>
      </c>
      <c r="C11" s="4">
        <f>C2-C5</f>
      </c>
      <c r="D11" s="4">
        <f>D2-D5</f>
      </c>
      <c r="E11" s="4">
        <f>E2-E5</f>
      </c>
    </row>
    <row x14ac:dyDescent="0.25" r="12" customHeight="1" ht="18.75">
      <c r="A12" s="1" t="s">
        <v>167</v>
      </c>
      <c r="B12" s="4">
        <v>48</v>
      </c>
      <c r="C12" s="4">
        <v>155</v>
      </c>
      <c r="D12" s="4">
        <v>120</v>
      </c>
      <c r="E12" s="4">
        <v>83</v>
      </c>
    </row>
    <row x14ac:dyDescent="0.25" r="13" customHeight="1" ht="18.75">
      <c r="A13" s="1" t="s">
        <v>168</v>
      </c>
      <c r="B13" s="4">
        <v>6847</v>
      </c>
      <c r="C13" s="4">
        <v>5220</v>
      </c>
      <c r="D13" s="4">
        <v>435</v>
      </c>
      <c r="E13" s="4">
        <v>-1254</v>
      </c>
    </row>
    <row x14ac:dyDescent="0.25" r="14" customHeight="1" ht="18.75">
      <c r="A14" s="1" t="s">
        <v>306</v>
      </c>
      <c r="B14" s="4"/>
      <c r="C14" s="4"/>
      <c r="D14" s="4"/>
      <c r="E14" s="4"/>
    </row>
    <row x14ac:dyDescent="0.25" r="15" customHeight="1" ht="18.75">
      <c r="A15" s="1" t="s">
        <v>169</v>
      </c>
      <c r="B15" s="4">
        <v>5391</v>
      </c>
      <c r="C15" s="4">
        <v>4044</v>
      </c>
      <c r="D15" s="4">
        <v>142</v>
      </c>
      <c r="E15" s="4">
        <v>-1254</v>
      </c>
    </row>
    <row x14ac:dyDescent="0.25" r="16" customHeight="1" ht="18.75">
      <c r="A16" s="1" t="s">
        <v>307</v>
      </c>
      <c r="B16" s="20"/>
      <c r="C16" s="20"/>
      <c r="D16" s="20"/>
      <c r="E16" s="2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7"/>
  <sheetViews>
    <sheetView workbookViewId="0"/>
  </sheetViews>
  <sheetFormatPr defaultRowHeight="15" x14ac:dyDescent="0.25"/>
  <cols>
    <col min="1" max="1" style="6" width="13.576428571428572" customWidth="1" bestFit="1"/>
    <col min="2" max="2" style="7" width="13.576428571428572" customWidth="1" bestFit="1"/>
    <col min="3" max="3" style="18" width="13.576428571428572" customWidth="1" bestFit="1"/>
  </cols>
  <sheetData>
    <row x14ac:dyDescent="0.25" r="1" customHeight="1" ht="18.75">
      <c r="A1" s="1" t="s">
        <v>0</v>
      </c>
      <c r="B1" s="2" t="s">
        <v>279</v>
      </c>
      <c r="C1" s="17" t="s">
        <v>2</v>
      </c>
    </row>
    <row x14ac:dyDescent="0.25" r="2" customHeight="1" ht="18.75">
      <c r="A2" s="1" t="s">
        <v>300</v>
      </c>
      <c r="B2" s="4">
        <v>17090</v>
      </c>
      <c r="C2" s="12">
        <f>B2/B7</f>
      </c>
    </row>
    <row x14ac:dyDescent="0.25" r="3" customHeight="1" ht="18.75">
      <c r="A3" s="1" t="s">
        <v>6</v>
      </c>
      <c r="B3" s="4">
        <v>2622</v>
      </c>
      <c r="C3" s="12">
        <f>B3/B7</f>
      </c>
    </row>
    <row x14ac:dyDescent="0.25" r="4" customHeight="1" ht="18.75">
      <c r="A4" s="1" t="s">
        <v>5</v>
      </c>
      <c r="B4" s="4">
        <v>2500</v>
      </c>
      <c r="C4" s="12">
        <f>B4/B7</f>
      </c>
    </row>
    <row x14ac:dyDescent="0.25" r="5" customHeight="1" ht="18.75">
      <c r="A5" s="1" t="s">
        <v>82</v>
      </c>
      <c r="B5" s="4">
        <v>3042</v>
      </c>
      <c r="C5" s="12">
        <f>B5/B7</f>
      </c>
    </row>
    <row x14ac:dyDescent="0.25" r="6" customHeight="1" ht="18.75">
      <c r="A6" s="1" t="s">
        <v>8</v>
      </c>
      <c r="B6" s="4">
        <v>18186</v>
      </c>
      <c r="C6" s="12">
        <f>B6/B7</f>
      </c>
    </row>
    <row x14ac:dyDescent="0.25" r="7" customHeight="1" ht="18.75">
      <c r="A7" s="1" t="s">
        <v>9</v>
      </c>
      <c r="B7" s="4">
        <f>SUM(B2:B6)</f>
      </c>
      <c r="C7" s="12">
        <f>SUM(C2:C6)</f>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8"/>
  <sheetViews>
    <sheetView workbookViewId="0"/>
  </sheetViews>
  <sheetFormatPr defaultRowHeight="15" x14ac:dyDescent="0.25"/>
  <cols>
    <col min="1" max="1" style="6" width="13.576428571428572" customWidth="1" bestFit="1"/>
    <col min="2" max="2" style="6" width="13.576428571428572" customWidth="1" bestFit="1"/>
    <col min="3" max="3" style="6" width="13.576428571428572" customWidth="1" bestFit="1"/>
    <col min="4" max="4" style="33" width="13.576428571428572" customWidth="1" bestFit="1"/>
    <col min="5" max="5" style="6" width="13.576428571428572" customWidth="1" bestFit="1"/>
    <col min="6" max="6" style="6" width="13.576428571428572" customWidth="1" bestFit="1"/>
  </cols>
  <sheetData>
    <row x14ac:dyDescent="0.25" r="1" customHeight="1" ht="18.75">
      <c r="A1" s="1" t="s">
        <v>111</v>
      </c>
      <c r="B1" s="1" t="s">
        <v>284</v>
      </c>
      <c r="C1" s="1" t="s">
        <v>113</v>
      </c>
      <c r="D1" s="32" t="s">
        <v>285</v>
      </c>
      <c r="E1" s="1" t="s">
        <v>114</v>
      </c>
      <c r="F1" s="1" t="s">
        <v>115</v>
      </c>
    </row>
    <row x14ac:dyDescent="0.25" r="2" customHeight="1" ht="18.75">
      <c r="A2" s="1" t="s">
        <v>282</v>
      </c>
      <c r="B2" s="1" t="s">
        <v>286</v>
      </c>
      <c r="C2" s="1" t="s">
        <v>287</v>
      </c>
      <c r="D2" s="5">
        <v>0.2</v>
      </c>
      <c r="E2" s="1" t="s">
        <v>288</v>
      </c>
      <c r="F2" s="1" t="s">
        <v>289</v>
      </c>
    </row>
    <row x14ac:dyDescent="0.25" r="3" customHeight="1" ht="18.75">
      <c r="A3" s="1" t="s">
        <v>290</v>
      </c>
      <c r="B3" s="1" t="s">
        <v>291</v>
      </c>
      <c r="C3" s="1" t="s">
        <v>292</v>
      </c>
      <c r="D3" s="5">
        <v>0.19</v>
      </c>
      <c r="E3" s="1" t="s">
        <v>293</v>
      </c>
      <c r="F3" s="1" t="s">
        <v>294</v>
      </c>
    </row>
    <row x14ac:dyDescent="0.25" r="4" customHeight="1" ht="18.75">
      <c r="A4" s="1" t="s">
        <v>295</v>
      </c>
      <c r="B4" s="1" t="s">
        <v>296</v>
      </c>
      <c r="C4" s="1" t="s">
        <v>297</v>
      </c>
      <c r="D4" s="34" t="s">
        <v>298</v>
      </c>
      <c r="E4" s="1" t="s">
        <v>293</v>
      </c>
      <c r="F4" s="1" t="s">
        <v>24</v>
      </c>
    </row>
    <row x14ac:dyDescent="0.25" r="5" customHeight="1" ht="18.75">
      <c r="A5" s="1" t="s">
        <v>299</v>
      </c>
      <c r="B5" s="4"/>
      <c r="C5" s="4"/>
      <c r="D5" s="4"/>
      <c r="E5" s="4"/>
      <c r="F5" s="1"/>
    </row>
    <row x14ac:dyDescent="0.25" r="6" customHeight="1" ht="18.75">
      <c r="A6" s="1"/>
      <c r="B6" s="4"/>
      <c r="C6" s="4"/>
      <c r="D6" s="4"/>
      <c r="E6" s="4"/>
      <c r="F6" s="1"/>
    </row>
    <row x14ac:dyDescent="0.25" r="7" customHeight="1" ht="18.75">
      <c r="A7" s="1"/>
      <c r="B7" s="4"/>
      <c r="C7" s="4"/>
      <c r="D7" s="4"/>
      <c r="E7" s="4"/>
      <c r="F7" s="1"/>
    </row>
    <row x14ac:dyDescent="0.25" r="8" customHeight="1" ht="18.75">
      <c r="A8" s="1"/>
      <c r="B8" s="4"/>
      <c r="C8" s="4"/>
      <c r="D8" s="4"/>
      <c r="E8" s="4"/>
      <c r="F8"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7"/>
  <sheetViews>
    <sheetView workbookViewId="0"/>
  </sheetViews>
  <sheetFormatPr defaultRowHeight="15" x14ac:dyDescent="0.25"/>
  <cols>
    <col min="1" max="1" style="6" width="13.576428571428572" customWidth="1" bestFit="1"/>
    <col min="2" max="2" style="23" width="13.576428571428572" customWidth="1" bestFit="1"/>
    <col min="3" max="3" style="33" width="13.576428571428572" customWidth="1" bestFit="1"/>
    <col min="4" max="4" style="23" width="13.576428571428572" customWidth="1" bestFit="1"/>
    <col min="5" max="5" style="23" width="13.576428571428572" customWidth="1" bestFit="1"/>
  </cols>
  <sheetData>
    <row x14ac:dyDescent="0.25" r="1" customHeight="1" ht="18.75">
      <c r="A1" s="1" t="s">
        <v>10</v>
      </c>
      <c r="B1" s="2" t="s">
        <v>278</v>
      </c>
      <c r="C1" s="32"/>
      <c r="D1" s="4"/>
      <c r="E1" s="4"/>
    </row>
    <row x14ac:dyDescent="0.25" r="2" customHeight="1" ht="18.75">
      <c r="A2" s="1" t="s">
        <v>12</v>
      </c>
      <c r="B2" s="20" t="s">
        <v>13</v>
      </c>
      <c r="C2" s="32"/>
      <c r="D2" s="4"/>
      <c r="E2" s="4"/>
    </row>
    <row x14ac:dyDescent="0.25" r="3" customHeight="1" ht="18.75">
      <c r="A3" s="1" t="s">
        <v>0</v>
      </c>
      <c r="B3" s="2" t="s">
        <v>279</v>
      </c>
      <c r="C3" s="32" t="s">
        <v>280</v>
      </c>
      <c r="D3" s="20"/>
      <c r="E3" s="20"/>
    </row>
    <row x14ac:dyDescent="0.25" r="4" customHeight="1" ht="18.75">
      <c r="A4" s="1" t="s">
        <v>281</v>
      </c>
      <c r="B4" s="4">
        <v>15091</v>
      </c>
      <c r="C4" s="12">
        <f>B4/B6</f>
      </c>
      <c r="D4" s="20"/>
      <c r="E4" s="20"/>
    </row>
    <row x14ac:dyDescent="0.25" r="5" customHeight="1" ht="18.75">
      <c r="A5" s="1" t="s">
        <v>282</v>
      </c>
      <c r="B5" s="4">
        <v>28718</v>
      </c>
      <c r="C5" s="12">
        <f>B5/B6</f>
      </c>
      <c r="D5" s="20"/>
      <c r="E5" s="20"/>
    </row>
    <row x14ac:dyDescent="0.25" r="6" customHeight="1" ht="18.75">
      <c r="A6" s="1" t="s">
        <v>9</v>
      </c>
      <c r="B6" s="4">
        <f>SUM(B4:B5)</f>
      </c>
      <c r="C6" s="5">
        <f>SUM(C4:C5)</f>
      </c>
      <c r="D6" s="20"/>
      <c r="E6" s="20"/>
    </row>
    <row x14ac:dyDescent="0.25" r="7" customHeight="1" ht="18.75">
      <c r="A7" s="1" t="s">
        <v>283</v>
      </c>
      <c r="B7" s="20"/>
      <c r="C7" s="32"/>
      <c r="D7" s="20"/>
      <c r="E7" s="2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5"/>
  <sheetViews>
    <sheetView workbookViewId="0"/>
  </sheetViews>
  <sheetFormatPr defaultRowHeight="15" x14ac:dyDescent="0.25"/>
  <cols>
    <col min="1" max="1" style="6" width="13.576428571428572" customWidth="1" bestFit="1"/>
    <col min="2" max="2" style="23" width="13.576428571428572" customWidth="1" bestFit="1"/>
    <col min="3" max="3" style="23" width="13.576428571428572" customWidth="1" bestFit="1"/>
    <col min="4" max="4" style="23" width="13.576428571428572" customWidth="1" bestFit="1"/>
    <col min="5" max="5" style="23" width="13.576428571428572" customWidth="1" bestFit="1"/>
    <col min="6" max="6" style="23" width="13.576428571428572" customWidth="1" bestFit="1"/>
    <col min="7" max="7" style="23" width="13.576428571428572" customWidth="1" bestFit="1"/>
    <col min="8" max="8" style="23" width="13.576428571428572" customWidth="1" bestFit="1"/>
    <col min="9" max="9" style="23" width="13.576428571428572" customWidth="1" bestFit="1"/>
    <col min="10" max="10" style="23" width="13.576428571428572" customWidth="1" bestFit="1"/>
    <col min="11" max="11" style="23" width="13.576428571428572" customWidth="1" bestFit="1"/>
    <col min="12" max="12" style="23" width="13.576428571428572" customWidth="1" bestFit="1"/>
    <col min="13" max="13" style="23" width="13.576428571428572" customWidth="1" bestFit="1"/>
  </cols>
  <sheetData>
    <row x14ac:dyDescent="0.25" r="1" customHeight="1" ht="18.75">
      <c r="A1" s="1" t="s">
        <v>12</v>
      </c>
      <c r="B1" s="20" t="s">
        <v>13</v>
      </c>
      <c r="C1" s="20"/>
      <c r="D1" s="20"/>
      <c r="E1" s="20"/>
      <c r="F1" s="20"/>
      <c r="G1" s="20"/>
      <c r="H1" s="20"/>
      <c r="I1" s="20"/>
      <c r="J1" s="20"/>
      <c r="K1" s="20"/>
      <c r="L1" s="20"/>
      <c r="M1" s="20"/>
    </row>
    <row x14ac:dyDescent="0.25" r="2" customHeight="1" ht="18.75">
      <c r="A2" s="1" t="s">
        <v>0</v>
      </c>
      <c r="B2" s="14">
        <v>23.06</v>
      </c>
      <c r="C2" s="14">
        <v>23.07</v>
      </c>
      <c r="D2" s="14">
        <v>23.08</v>
      </c>
      <c r="E2" s="14">
        <v>23.09</v>
      </c>
      <c r="F2" s="14">
        <v>23.1</v>
      </c>
      <c r="G2" s="14">
        <v>23.11</v>
      </c>
      <c r="H2" s="14">
        <v>23.12</v>
      </c>
      <c r="I2" s="14">
        <v>24.01</v>
      </c>
      <c r="J2" s="14">
        <v>24.02</v>
      </c>
      <c r="K2" s="14">
        <v>24.03</v>
      </c>
      <c r="L2" s="14">
        <v>24.04</v>
      </c>
      <c r="M2" s="14">
        <v>24.05</v>
      </c>
    </row>
    <row x14ac:dyDescent="0.25" r="3" customHeight="1" ht="18.75">
      <c r="A3" s="1" t="s">
        <v>99</v>
      </c>
      <c r="B3" s="4">
        <v>164166</v>
      </c>
      <c r="C3" s="4">
        <v>160214</v>
      </c>
      <c r="D3" s="4">
        <v>155085</v>
      </c>
      <c r="E3" s="4">
        <v>150791</v>
      </c>
      <c r="F3" s="4">
        <v>148667</v>
      </c>
      <c r="G3" s="4">
        <v>145731</v>
      </c>
      <c r="H3" s="4">
        <v>143929</v>
      </c>
      <c r="I3" s="4">
        <v>129191</v>
      </c>
      <c r="J3" s="4">
        <v>72763</v>
      </c>
      <c r="K3" s="4">
        <v>65338</v>
      </c>
      <c r="L3" s="4">
        <v>63773</v>
      </c>
      <c r="M3" s="4">
        <v>63174</v>
      </c>
    </row>
    <row x14ac:dyDescent="0.25" r="4" customHeight="1" ht="18.75">
      <c r="A4" s="1" t="s">
        <v>102</v>
      </c>
      <c r="B4" s="4">
        <v>140699</v>
      </c>
      <c r="C4" s="4">
        <v>136637</v>
      </c>
      <c r="D4" s="4">
        <v>131636</v>
      </c>
      <c r="E4" s="4">
        <v>127573</v>
      </c>
      <c r="F4" s="4">
        <v>125284</v>
      </c>
      <c r="G4" s="4">
        <v>122263</v>
      </c>
      <c r="H4" s="4">
        <v>120725</v>
      </c>
      <c r="I4" s="4">
        <v>105518</v>
      </c>
      <c r="J4" s="4">
        <v>49140</v>
      </c>
      <c r="K4" s="4">
        <v>42608</v>
      </c>
      <c r="L4" s="4">
        <v>41703</v>
      </c>
      <c r="M4" s="4">
        <v>41224</v>
      </c>
    </row>
    <row x14ac:dyDescent="0.25" r="5" customHeight="1" ht="18.75">
      <c r="A5" s="1" t="s">
        <v>100</v>
      </c>
      <c r="B5" s="4">
        <v>23467</v>
      </c>
      <c r="C5" s="4">
        <v>23576</v>
      </c>
      <c r="D5" s="4">
        <v>23449</v>
      </c>
      <c r="E5" s="4">
        <v>23219</v>
      </c>
      <c r="F5" s="4">
        <v>23383</v>
      </c>
      <c r="G5" s="4">
        <v>23468</v>
      </c>
      <c r="H5" s="4">
        <v>23204</v>
      </c>
      <c r="I5" s="4">
        <v>23673</v>
      </c>
      <c r="J5" s="4">
        <v>23623</v>
      </c>
      <c r="K5" s="4">
        <v>22730</v>
      </c>
      <c r="L5" s="4">
        <v>22069</v>
      </c>
      <c r="M5" s="4">
        <v>21950</v>
      </c>
    </row>
    <row x14ac:dyDescent="0.25" r="6" customHeight="1" ht="18.75">
      <c r="A6" s="1" t="s">
        <v>104</v>
      </c>
      <c r="B6" s="4">
        <v>1142</v>
      </c>
      <c r="C6" s="4">
        <v>1142</v>
      </c>
      <c r="D6" s="4">
        <v>1142</v>
      </c>
      <c r="E6" s="4">
        <v>1142</v>
      </c>
      <c r="F6" s="4">
        <v>1142</v>
      </c>
      <c r="G6" s="4">
        <v>1142</v>
      </c>
      <c r="H6" s="4">
        <v>1142</v>
      </c>
      <c r="I6" s="4">
        <v>1142</v>
      </c>
      <c r="J6" s="4">
        <v>1142</v>
      </c>
      <c r="K6" s="4">
        <v>1142</v>
      </c>
      <c r="L6" s="4">
        <v>1142</v>
      </c>
      <c r="M6" s="4">
        <v>1142</v>
      </c>
    </row>
    <row x14ac:dyDescent="0.25" r="7" customHeight="1" ht="18.75">
      <c r="A7" s="1" t="s">
        <v>277</v>
      </c>
      <c r="B7" s="4">
        <v>2694</v>
      </c>
      <c r="C7" s="4">
        <v>2694</v>
      </c>
      <c r="D7" s="4">
        <v>2694</v>
      </c>
      <c r="E7" s="4">
        <v>2694</v>
      </c>
      <c r="F7" s="4">
        <v>2694</v>
      </c>
      <c r="G7" s="4">
        <v>2694</v>
      </c>
      <c r="H7" s="4">
        <v>2694</v>
      </c>
      <c r="I7" s="4">
        <v>2694</v>
      </c>
      <c r="J7" s="4">
        <v>2694</v>
      </c>
      <c r="K7" s="4">
        <v>2694</v>
      </c>
      <c r="L7" s="4">
        <v>2694</v>
      </c>
      <c r="M7" s="4">
        <v>2694</v>
      </c>
    </row>
    <row x14ac:dyDescent="0.25" r="8" customHeight="1" ht="18.75">
      <c r="A8" s="1" t="s">
        <v>105</v>
      </c>
      <c r="B8" s="4">
        <v>405</v>
      </c>
      <c r="C8" s="4">
        <v>515</v>
      </c>
      <c r="D8" s="4">
        <v>387</v>
      </c>
      <c r="E8" s="4">
        <v>157</v>
      </c>
      <c r="F8" s="4">
        <v>321</v>
      </c>
      <c r="G8" s="4">
        <v>406</v>
      </c>
      <c r="H8" s="4">
        <v>142</v>
      </c>
      <c r="I8" s="4">
        <v>469</v>
      </c>
      <c r="J8" s="4">
        <v>419</v>
      </c>
      <c r="K8" s="4">
        <v>-474</v>
      </c>
      <c r="L8" s="4">
        <v>-1135</v>
      </c>
      <c r="M8" s="4">
        <v>-1254</v>
      </c>
    </row>
    <row x14ac:dyDescent="0.25" r="9" customHeight="1" ht="18.75">
      <c r="A9" s="1" t="s">
        <v>106</v>
      </c>
      <c r="B9" s="4">
        <v>868</v>
      </c>
      <c r="C9" s="4">
        <v>427</v>
      </c>
      <c r="D9" s="4">
        <v>265</v>
      </c>
      <c r="E9" s="4">
        <v>536</v>
      </c>
      <c r="F9" s="4">
        <v>144</v>
      </c>
      <c r="G9" s="4">
        <v>472</v>
      </c>
      <c r="H9" s="4">
        <v>414</v>
      </c>
      <c r="I9" s="4">
        <v>198</v>
      </c>
      <c r="J9" s="4">
        <v>102</v>
      </c>
      <c r="K9" s="4">
        <v>131</v>
      </c>
      <c r="L9" s="4">
        <v>178</v>
      </c>
      <c r="M9" s="4">
        <v>321</v>
      </c>
    </row>
    <row x14ac:dyDescent="0.25" r="10" customHeight="1" ht="18.75">
      <c r="A10" s="1" t="s">
        <v>107</v>
      </c>
      <c r="B10" s="4">
        <v>6867</v>
      </c>
      <c r="C10" s="4">
        <v>3497</v>
      </c>
      <c r="D10" s="4">
        <v>940</v>
      </c>
      <c r="E10" s="4">
        <v>2513</v>
      </c>
      <c r="F10" s="4">
        <v>631</v>
      </c>
      <c r="G10" s="4">
        <v>2219</v>
      </c>
      <c r="H10" s="4">
        <v>2140</v>
      </c>
      <c r="I10" s="4">
        <v>1936</v>
      </c>
      <c r="J10" s="4">
        <v>5211</v>
      </c>
      <c r="K10" s="4">
        <v>10529</v>
      </c>
      <c r="L10" s="4">
        <v>3970</v>
      </c>
      <c r="M10" s="4">
        <v>5223</v>
      </c>
    </row>
    <row x14ac:dyDescent="0.25" r="11" customHeight="1" ht="18.75">
      <c r="A11" s="1" t="s">
        <v>108</v>
      </c>
      <c r="B11" s="4">
        <v>18626</v>
      </c>
      <c r="C11" s="4">
        <v>17188</v>
      </c>
      <c r="D11" s="4">
        <v>16874</v>
      </c>
      <c r="E11" s="4">
        <v>16971</v>
      </c>
      <c r="F11" s="4">
        <v>16490</v>
      </c>
      <c r="G11" s="4">
        <v>16496</v>
      </c>
      <c r="H11" s="4">
        <v>15705</v>
      </c>
      <c r="I11" s="4">
        <v>11793</v>
      </c>
      <c r="J11" s="4">
        <v>2499</v>
      </c>
      <c r="K11" s="4">
        <v>2454</v>
      </c>
      <c r="L11" s="4">
        <v>2579</v>
      </c>
      <c r="M11" s="4">
        <v>2851</v>
      </c>
    </row>
    <row x14ac:dyDescent="0.25" r="12" customHeight="1" ht="18.75">
      <c r="A12" s="1" t="s">
        <v>173</v>
      </c>
      <c r="B12" s="4">
        <v>148454</v>
      </c>
      <c r="C12" s="4">
        <v>140088</v>
      </c>
      <c r="D12" s="4">
        <v>135525</v>
      </c>
      <c r="E12" s="4">
        <v>132827</v>
      </c>
      <c r="F12" s="4">
        <v>128109</v>
      </c>
      <c r="G12" s="4">
        <v>126387</v>
      </c>
      <c r="H12" s="4">
        <v>119583</v>
      </c>
      <c r="I12" s="4">
        <v>97581</v>
      </c>
      <c r="J12" s="4">
        <v>48693</v>
      </c>
      <c r="K12" s="4">
        <v>44294</v>
      </c>
      <c r="L12" s="4">
        <v>45625</v>
      </c>
      <c r="M12" s="4">
        <v>43809</v>
      </c>
    </row>
    <row x14ac:dyDescent="0.25" r="13" customHeight="1" ht="18.75">
      <c r="A13" s="1" t="s">
        <v>110</v>
      </c>
      <c r="B13" s="4">
        <v>139235</v>
      </c>
      <c r="C13" s="4">
        <v>135230</v>
      </c>
      <c r="D13" s="4">
        <v>130273</v>
      </c>
      <c r="E13" s="4">
        <v>126159</v>
      </c>
      <c r="F13" s="4">
        <v>123913</v>
      </c>
      <c r="G13" s="4">
        <v>120874</v>
      </c>
      <c r="H13" s="4">
        <v>118566</v>
      </c>
      <c r="I13" s="4">
        <v>96870</v>
      </c>
      <c r="J13" s="4">
        <v>47634</v>
      </c>
      <c r="K13" s="4">
        <v>41475</v>
      </c>
      <c r="L13" s="4">
        <v>40518</v>
      </c>
      <c r="M13" s="4">
        <v>40057</v>
      </c>
    </row>
    <row x14ac:dyDescent="0.25" r="14" customHeight="1" ht="18.75">
      <c r="A14" s="26"/>
      <c r="B14" s="26"/>
      <c r="C14" s="26"/>
      <c r="D14" s="26"/>
      <c r="E14" s="26"/>
      <c r="F14" s="20"/>
      <c r="G14" s="20"/>
      <c r="H14" s="20"/>
      <c r="I14" s="20"/>
      <c r="J14" s="20"/>
      <c r="K14" s="20"/>
      <c r="L14" s="20"/>
      <c r="M14" s="20"/>
    </row>
    <row x14ac:dyDescent="0.25" r="15" customHeight="1" ht="18.75">
      <c r="A15" s="26"/>
      <c r="B15" s="26"/>
      <c r="C15" s="26"/>
      <c r="D15" s="26"/>
      <c r="E15" s="26"/>
      <c r="F15" s="20"/>
      <c r="G15" s="20"/>
      <c r="H15" s="20"/>
      <c r="I15" s="20"/>
      <c r="J15" s="20"/>
      <c r="K15" s="20"/>
      <c r="L15" s="20"/>
      <c r="M15" s="2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22"/>
  <sheetViews>
    <sheetView workbookViewId="0"/>
  </sheetViews>
  <sheetFormatPr defaultRowHeight="15" x14ac:dyDescent="0.25"/>
  <cols>
    <col min="1" max="1" style="6" width="13.576428571428572" customWidth="1" bestFit="1"/>
    <col min="2" max="2" style="6" width="13.576428571428572" customWidth="1" bestFit="1"/>
    <col min="3" max="3" style="23" width="13.576428571428572" customWidth="1" bestFit="1"/>
    <col min="4" max="4" style="23" width="13.576428571428572" customWidth="1" bestFit="1"/>
    <col min="5" max="5" style="23" width="13.576428571428572" customWidth="1" bestFit="1"/>
    <col min="6" max="6" style="23" width="13.576428571428572" customWidth="1" bestFit="1"/>
    <col min="7" max="7" style="23" width="13.576428571428572" customWidth="1" bestFit="1"/>
    <col min="8" max="8" style="23" width="13.576428571428572" customWidth="1" bestFit="1"/>
    <col min="9" max="9" style="23" width="13.576428571428572" customWidth="1" bestFit="1"/>
    <col min="10" max="10" style="23" width="13.576428571428572" customWidth="1" bestFit="1"/>
    <col min="11" max="11" style="23" width="13.576428571428572" customWidth="1" bestFit="1"/>
    <col min="12" max="12" style="23" width="13.576428571428572" customWidth="1" bestFit="1"/>
    <col min="13" max="13" style="23" width="13.576428571428572" customWidth="1" bestFit="1"/>
    <col min="14" max="14" style="23" width="13.576428571428572" customWidth="1" bestFit="1"/>
  </cols>
  <sheetData>
    <row x14ac:dyDescent="0.25" r="1" customHeight="1" ht="18.75">
      <c r="A1" s="1" t="s">
        <v>12</v>
      </c>
      <c r="B1" s="1" t="s">
        <v>13</v>
      </c>
      <c r="C1" s="20"/>
      <c r="D1" s="20"/>
      <c r="E1" s="20"/>
      <c r="F1" s="20"/>
      <c r="G1" s="20"/>
      <c r="H1" s="20"/>
      <c r="I1" s="20"/>
      <c r="J1" s="20"/>
      <c r="K1" s="20"/>
      <c r="L1" s="20"/>
      <c r="M1" s="20"/>
      <c r="N1" s="20"/>
    </row>
    <row x14ac:dyDescent="0.25" r="2" customHeight="1" ht="18.75">
      <c r="A2" s="1" t="s">
        <v>0</v>
      </c>
      <c r="B2" s="1"/>
      <c r="C2" s="4">
        <v>23.06</v>
      </c>
      <c r="D2" s="4">
        <v>23.07</v>
      </c>
      <c r="E2" s="4">
        <v>23.08</v>
      </c>
      <c r="F2" s="4">
        <v>23.09</v>
      </c>
      <c r="G2" s="4">
        <v>23.1</v>
      </c>
      <c r="H2" s="4">
        <v>23.11</v>
      </c>
      <c r="I2" s="4">
        <v>23.12</v>
      </c>
      <c r="J2" s="4">
        <v>24.01</v>
      </c>
      <c r="K2" s="4">
        <v>24.02</v>
      </c>
      <c r="L2" s="4">
        <v>24.03</v>
      </c>
      <c r="M2" s="4">
        <v>24.04</v>
      </c>
      <c r="N2" s="4">
        <v>24.05</v>
      </c>
    </row>
    <row x14ac:dyDescent="0.25" r="3" customHeight="1" ht="18.75">
      <c r="A3" s="1" t="s">
        <v>262</v>
      </c>
      <c r="B3" s="1" t="s">
        <v>263</v>
      </c>
      <c r="C3" s="4">
        <v>3235</v>
      </c>
      <c r="D3" s="4">
        <v>1670</v>
      </c>
      <c r="E3" s="4">
        <v>495</v>
      </c>
      <c r="F3" s="4">
        <v>1566</v>
      </c>
      <c r="G3" s="4">
        <v>439</v>
      </c>
      <c r="H3" s="4">
        <v>1290</v>
      </c>
      <c r="I3" s="4">
        <v>890</v>
      </c>
      <c r="J3" s="4">
        <v>1063</v>
      </c>
      <c r="K3" s="4">
        <v>1597</v>
      </c>
      <c r="L3" s="4">
        <v>2369</v>
      </c>
      <c r="M3" s="4">
        <v>3278</v>
      </c>
      <c r="N3" s="4">
        <v>4056</v>
      </c>
    </row>
    <row x14ac:dyDescent="0.25" r="4" customHeight="1" ht="18.75">
      <c r="A4" s="1"/>
      <c r="B4" s="1" t="s">
        <v>264</v>
      </c>
      <c r="C4" s="4">
        <v>3632</v>
      </c>
      <c r="D4" s="4">
        <v>1827</v>
      </c>
      <c r="E4" s="4">
        <v>445</v>
      </c>
      <c r="F4" s="4">
        <v>947</v>
      </c>
      <c r="G4" s="4">
        <v>192</v>
      </c>
      <c r="H4" s="4">
        <v>929</v>
      </c>
      <c r="I4" s="4">
        <v>1250</v>
      </c>
      <c r="J4" s="4">
        <v>873</v>
      </c>
      <c r="K4" s="4">
        <v>3614</v>
      </c>
      <c r="L4" s="4">
        <v>8160</v>
      </c>
      <c r="M4" s="4">
        <v>692</v>
      </c>
      <c r="N4" s="4">
        <v>1167</v>
      </c>
    </row>
    <row x14ac:dyDescent="0.25" r="5" customHeight="1" ht="18.75">
      <c r="A5" s="1"/>
      <c r="B5" s="1" t="s">
        <v>257</v>
      </c>
      <c r="C5" s="4">
        <f>SUM(C3:C4)</f>
      </c>
      <c r="D5" s="4">
        <f>SUM(D3:D4)</f>
      </c>
      <c r="E5" s="4">
        <f>SUM(E3:E4)</f>
      </c>
      <c r="F5" s="4">
        <f>SUM(F3:F4)</f>
      </c>
      <c r="G5" s="4">
        <f>SUM(G3:G4)</f>
      </c>
      <c r="H5" s="4">
        <f>SUM(H3:H4)</f>
      </c>
      <c r="I5" s="4">
        <f>SUM(I3:I4)</f>
      </c>
      <c r="J5" s="4">
        <f>SUM(J3:J4)</f>
      </c>
      <c r="K5" s="4">
        <f>SUM(K3:K4)</f>
      </c>
      <c r="L5" s="4">
        <f>SUM(L3:L4)</f>
      </c>
      <c r="M5" s="4">
        <f>SUM(M3:M4)</f>
      </c>
      <c r="N5" s="4">
        <f>SUM(N3:N4)</f>
      </c>
    </row>
    <row x14ac:dyDescent="0.25" r="6" customHeight="1" ht="18.75">
      <c r="A6" s="1" t="s">
        <v>265</v>
      </c>
      <c r="B6" s="1"/>
      <c r="C6" s="4">
        <v>6498</v>
      </c>
      <c r="D6" s="4">
        <v>4236</v>
      </c>
      <c r="E6" s="4">
        <v>5161</v>
      </c>
      <c r="F6" s="4">
        <v>5190</v>
      </c>
      <c r="G6" s="4">
        <v>4429</v>
      </c>
      <c r="H6" s="4">
        <v>3901</v>
      </c>
      <c r="I6" s="4">
        <v>3859</v>
      </c>
      <c r="J6" s="4">
        <v>4764</v>
      </c>
      <c r="K6" s="4">
        <v>1963</v>
      </c>
      <c r="L6" s="4">
        <v>998</v>
      </c>
      <c r="M6" s="4">
        <v>2831</v>
      </c>
      <c r="N6" s="4">
        <v>7320</v>
      </c>
    </row>
    <row x14ac:dyDescent="0.25" r="7" customHeight="1" ht="18.75">
      <c r="A7" s="1" t="s">
        <v>266</v>
      </c>
      <c r="B7" s="1"/>
      <c r="C7" s="4">
        <v>2001</v>
      </c>
      <c r="D7" s="4">
        <v>1971</v>
      </c>
      <c r="E7" s="4">
        <v>1980</v>
      </c>
      <c r="F7" s="4">
        <v>1850</v>
      </c>
      <c r="G7" s="4">
        <v>1897</v>
      </c>
      <c r="H7" s="4">
        <v>1747</v>
      </c>
      <c r="I7" s="4">
        <v>1651</v>
      </c>
      <c r="J7" s="4">
        <v>1847</v>
      </c>
      <c r="K7" s="4">
        <v>936</v>
      </c>
      <c r="L7" s="4">
        <v>289</v>
      </c>
      <c r="M7" s="4">
        <v>384</v>
      </c>
      <c r="N7" s="4">
        <v>485</v>
      </c>
    </row>
    <row x14ac:dyDescent="0.25" r="8" customHeight="1" ht="18.75">
      <c r="A8" s="1" t="s">
        <v>1</v>
      </c>
      <c r="B8" s="1"/>
      <c r="C8" s="4">
        <v>148454</v>
      </c>
      <c r="D8" s="4">
        <v>140088</v>
      </c>
      <c r="E8" s="4">
        <v>135525</v>
      </c>
      <c r="F8" s="4">
        <v>132827</v>
      </c>
      <c r="G8" s="4">
        <v>128109</v>
      </c>
      <c r="H8" s="4">
        <v>126387</v>
      </c>
      <c r="I8" s="4">
        <v>119583</v>
      </c>
      <c r="J8" s="4">
        <v>97581</v>
      </c>
      <c r="K8" s="4">
        <v>48693</v>
      </c>
      <c r="L8" s="4">
        <v>44294</v>
      </c>
      <c r="M8" s="4">
        <v>45625</v>
      </c>
      <c r="N8" s="4">
        <v>43809</v>
      </c>
    </row>
    <row x14ac:dyDescent="0.25" r="9" customHeight="1" ht="18.75">
      <c r="A9" s="1" t="s">
        <v>267</v>
      </c>
      <c r="B9" s="1"/>
      <c r="C9" s="4">
        <v>34</v>
      </c>
      <c r="D9" s="4">
        <v>-8366</v>
      </c>
      <c r="E9" s="4">
        <v>-4563</v>
      </c>
      <c r="F9" s="4">
        <v>-2698</v>
      </c>
      <c r="G9" s="4">
        <v>-4718</v>
      </c>
      <c r="H9" s="4">
        <v>-1721</v>
      </c>
      <c r="I9" s="4">
        <v>-6804</v>
      </c>
      <c r="J9" s="4">
        <v>-22002</v>
      </c>
      <c r="K9" s="4">
        <v>-48888</v>
      </c>
      <c r="L9" s="4">
        <v>-4399</v>
      </c>
      <c r="M9" s="4">
        <v>1331</v>
      </c>
      <c r="N9" s="4">
        <v>-1815</v>
      </c>
    </row>
    <row x14ac:dyDescent="0.25" r="10" customHeight="1" ht="18.75">
      <c r="A10" s="1" t="s">
        <v>268</v>
      </c>
      <c r="B10" s="1"/>
      <c r="C10" s="4">
        <v>868</v>
      </c>
      <c r="D10" s="4">
        <v>427</v>
      </c>
      <c r="E10" s="4">
        <v>265</v>
      </c>
      <c r="F10" s="4">
        <v>536</v>
      </c>
      <c r="G10" s="4">
        <v>144</v>
      </c>
      <c r="H10" s="4">
        <v>472</v>
      </c>
      <c r="I10" s="4">
        <v>414</v>
      </c>
      <c r="J10" s="4">
        <v>198</v>
      </c>
      <c r="K10" s="4">
        <v>102</v>
      </c>
      <c r="L10" s="4">
        <v>131</v>
      </c>
      <c r="M10" s="4">
        <v>178</v>
      </c>
      <c r="N10" s="4">
        <v>321</v>
      </c>
    </row>
    <row x14ac:dyDescent="0.25" r="11" customHeight="1" ht="18.75">
      <c r="A11" s="1" t="s">
        <v>269</v>
      </c>
      <c r="B11" s="1"/>
      <c r="C11" s="4">
        <v>8</v>
      </c>
      <c r="D11" s="4">
        <v>8</v>
      </c>
      <c r="E11" s="4">
        <v>4</v>
      </c>
      <c r="F11" s="4">
        <v>5</v>
      </c>
      <c r="G11" s="4">
        <v>4</v>
      </c>
      <c r="H11" s="4">
        <v>5</v>
      </c>
      <c r="I11" s="4">
        <v>5</v>
      </c>
      <c r="J11" s="4">
        <v>10</v>
      </c>
      <c r="K11" s="4">
        <v>51</v>
      </c>
      <c r="L11" s="4">
        <v>80</v>
      </c>
      <c r="M11" s="4">
        <v>22</v>
      </c>
      <c r="N11" s="4">
        <v>16</v>
      </c>
    </row>
    <row x14ac:dyDescent="0.25" r="12" customHeight="1" ht="18.75">
      <c r="A12" s="1" t="s">
        <v>270</v>
      </c>
      <c r="B12" s="1"/>
      <c r="C12" s="4">
        <v>0.195</v>
      </c>
      <c r="D12" s="4">
        <v>0.182</v>
      </c>
      <c r="E12" s="4">
        <v>0.182</v>
      </c>
      <c r="F12" s="4">
        <v>0.183</v>
      </c>
      <c r="G12" s="4">
        <v>0.183</v>
      </c>
      <c r="H12" s="4">
        <v>0.183</v>
      </c>
      <c r="I12" s="4">
        <v>0.182</v>
      </c>
      <c r="J12" s="4">
        <v>0.178</v>
      </c>
      <c r="K12" s="4">
        <v>0.151</v>
      </c>
      <c r="L12" s="4">
        <v>0.156</v>
      </c>
      <c r="M12" s="4">
        <v>0.159</v>
      </c>
      <c r="N12" s="4">
        <v>0.166</v>
      </c>
    </row>
    <row x14ac:dyDescent="0.25" r="13" customHeight="1" ht="18.75">
      <c r="A13" s="1" t="s">
        <v>271</v>
      </c>
      <c r="B13" s="1"/>
      <c r="C13" s="4">
        <v>14157</v>
      </c>
      <c r="D13" s="4">
        <v>13066</v>
      </c>
      <c r="E13" s="4">
        <v>13048</v>
      </c>
      <c r="F13" s="4">
        <v>13449</v>
      </c>
      <c r="G13" s="4">
        <v>13110</v>
      </c>
      <c r="H13" s="4">
        <v>13432</v>
      </c>
      <c r="I13" s="4">
        <v>13160</v>
      </c>
      <c r="J13" s="4">
        <v>9673</v>
      </c>
      <c r="K13" s="4">
        <v>1489</v>
      </c>
      <c r="L13" s="4">
        <v>1474</v>
      </c>
      <c r="M13" s="4">
        <v>1436</v>
      </c>
      <c r="N13" s="4">
        <v>1432</v>
      </c>
    </row>
    <row x14ac:dyDescent="0.25" r="14" customHeight="1" ht="18.75">
      <c r="A14" s="1" t="s">
        <v>272</v>
      </c>
      <c r="B14" s="1"/>
      <c r="C14" s="4">
        <v>21571</v>
      </c>
      <c r="D14" s="4">
        <v>19961</v>
      </c>
      <c r="E14" s="4">
        <v>19581</v>
      </c>
      <c r="F14" s="4">
        <v>19559</v>
      </c>
      <c r="G14" s="4">
        <v>18842</v>
      </c>
      <c r="H14" s="4">
        <v>18733</v>
      </c>
      <c r="I14" s="4">
        <v>17579</v>
      </c>
      <c r="J14" s="4">
        <v>13220</v>
      </c>
      <c r="K14" s="4">
        <v>2196</v>
      </c>
      <c r="L14" s="4">
        <v>2179</v>
      </c>
      <c r="M14" s="4">
        <v>2169</v>
      </c>
      <c r="N14" s="4">
        <v>2281</v>
      </c>
    </row>
    <row x14ac:dyDescent="0.25" r="15" customHeight="1" ht="18.75">
      <c r="A15" s="1" t="s">
        <v>273</v>
      </c>
      <c r="B15" s="1"/>
      <c r="C15" s="4">
        <v>13737</v>
      </c>
      <c r="D15" s="4">
        <v>12572</v>
      </c>
      <c r="E15" s="4">
        <v>12162</v>
      </c>
      <c r="F15" s="4">
        <v>12151</v>
      </c>
      <c r="G15" s="4">
        <v>11679</v>
      </c>
      <c r="H15" s="4">
        <v>11514</v>
      </c>
      <c r="I15" s="4">
        <v>10681</v>
      </c>
      <c r="J15" s="4">
        <v>7908</v>
      </c>
      <c r="K15" s="4">
        <v>1313</v>
      </c>
      <c r="L15" s="4">
        <v>1306</v>
      </c>
      <c r="M15" s="4">
        <v>1299</v>
      </c>
      <c r="N15" s="4">
        <v>1731</v>
      </c>
    </row>
    <row x14ac:dyDescent="0.25" r="16" customHeight="1" ht="18.75">
      <c r="A16" s="1" t="s">
        <v>274</v>
      </c>
      <c r="B16" s="1"/>
      <c r="C16" s="4">
        <v>22370</v>
      </c>
      <c r="D16" s="4">
        <v>20321</v>
      </c>
      <c r="E16" s="4">
        <v>19620</v>
      </c>
      <c r="F16" s="4">
        <v>19465</v>
      </c>
      <c r="G16" s="4">
        <v>18779</v>
      </c>
      <c r="H16" s="4">
        <v>18579</v>
      </c>
      <c r="I16" s="4">
        <v>17313</v>
      </c>
      <c r="J16" s="4">
        <v>12968</v>
      </c>
      <c r="K16" s="4">
        <v>3187</v>
      </c>
      <c r="L16" s="4">
        <v>3445</v>
      </c>
      <c r="M16" s="4">
        <v>3855</v>
      </c>
      <c r="N16" s="4">
        <v>4520</v>
      </c>
    </row>
    <row x14ac:dyDescent="0.25" r="17" customHeight="1" ht="18.75">
      <c r="A17" s="1" t="s">
        <v>275</v>
      </c>
      <c r="B17" s="1"/>
      <c r="C17" s="4">
        <v>30089</v>
      </c>
      <c r="D17" s="4">
        <v>27669</v>
      </c>
      <c r="E17" s="4">
        <v>26638</v>
      </c>
      <c r="F17" s="4">
        <v>26037</v>
      </c>
      <c r="G17" s="4">
        <v>25209</v>
      </c>
      <c r="H17" s="4">
        <v>24645</v>
      </c>
      <c r="I17" s="4">
        <v>22498</v>
      </c>
      <c r="J17" s="4">
        <v>16924</v>
      </c>
      <c r="K17" s="4">
        <v>5936</v>
      </c>
      <c r="L17" s="4">
        <v>6765</v>
      </c>
      <c r="M17" s="4">
        <v>7493</v>
      </c>
      <c r="N17" s="4">
        <v>8611</v>
      </c>
    </row>
    <row x14ac:dyDescent="0.25" r="18" customHeight="1" ht="18.75">
      <c r="A18" s="1" t="s">
        <v>276</v>
      </c>
      <c r="B18" s="1"/>
      <c r="C18" s="4">
        <v>46530</v>
      </c>
      <c r="D18" s="4">
        <v>46499</v>
      </c>
      <c r="E18" s="4">
        <v>44476</v>
      </c>
      <c r="F18" s="4">
        <v>42167</v>
      </c>
      <c r="G18" s="4">
        <v>40489</v>
      </c>
      <c r="H18" s="4">
        <v>39484</v>
      </c>
      <c r="I18" s="4">
        <v>38352</v>
      </c>
      <c r="J18" s="4">
        <v>36887</v>
      </c>
      <c r="K18" s="4">
        <v>34571</v>
      </c>
      <c r="L18" s="4">
        <v>29125</v>
      </c>
      <c r="M18" s="4">
        <v>29372</v>
      </c>
      <c r="N18" s="4">
        <v>25234</v>
      </c>
    </row>
    <row x14ac:dyDescent="0.25" r="19" customHeight="1" ht="18.75">
      <c r="A19" s="1"/>
      <c r="B19" s="1"/>
      <c r="C19" s="20"/>
      <c r="D19" s="20"/>
      <c r="E19" s="20"/>
      <c r="F19" s="20"/>
      <c r="G19" s="20"/>
      <c r="H19" s="20"/>
      <c r="I19" s="20"/>
      <c r="J19" s="20"/>
      <c r="K19" s="20"/>
      <c r="L19" s="20"/>
      <c r="M19" s="20"/>
      <c r="N19" s="20"/>
    </row>
    <row x14ac:dyDescent="0.25" r="20" customHeight="1" ht="18.75">
      <c r="A20" s="1"/>
      <c r="B20" s="1"/>
      <c r="C20" s="4">
        <f>SUM(C13:C18)-C8</f>
      </c>
      <c r="D20" s="4">
        <f>SUM(D13:D18)-D8</f>
      </c>
      <c r="E20" s="4">
        <f>SUM(E13:E18)-E8</f>
      </c>
      <c r="F20" s="4">
        <f>SUM(F13:F18)-F8</f>
      </c>
      <c r="G20" s="4">
        <f>SUM(G13:G18)-G8</f>
      </c>
      <c r="H20" s="4">
        <f>SUM(H13:H18)-H8</f>
      </c>
      <c r="I20" s="4">
        <f>SUM(I13:I18)-I8</f>
      </c>
      <c r="J20" s="4">
        <f>SUM(J13:J18)-J8</f>
      </c>
      <c r="K20" s="4">
        <f>SUM(K13:K18)-K8</f>
      </c>
      <c r="L20" s="4">
        <f>SUM(L13:L18)-L8</f>
      </c>
      <c r="M20" s="4">
        <f>SUM(M13:M18)-M8</f>
      </c>
      <c r="N20" s="4">
        <f>SUM(N13:N18)-N8</f>
      </c>
    </row>
    <row x14ac:dyDescent="0.25" r="21" customHeight="1" ht="18.75">
      <c r="A21" s="1"/>
      <c r="B21" s="1"/>
      <c r="C21" s="4"/>
      <c r="D21" s="4"/>
      <c r="E21" s="4"/>
      <c r="F21" s="4"/>
      <c r="G21" s="4"/>
      <c r="H21" s="4"/>
      <c r="I21" s="4"/>
      <c r="J21" s="4"/>
      <c r="K21" s="4"/>
      <c r="L21" s="4"/>
      <c r="M21" s="4"/>
      <c r="N21" s="4"/>
    </row>
    <row x14ac:dyDescent="0.25" r="22" customHeight="1" ht="18.75">
      <c r="A22" s="1"/>
      <c r="B22" s="1"/>
      <c r="C22" s="4"/>
      <c r="D22" s="4"/>
      <c r="E22" s="4"/>
      <c r="F22" s="4"/>
      <c r="G22" s="4"/>
      <c r="H22" s="4"/>
      <c r="I22" s="4"/>
      <c r="J22" s="4"/>
      <c r="K22" s="4"/>
      <c r="L22" s="4"/>
      <c r="M22" s="4"/>
      <c r="N22"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5"/>
  <sheetViews>
    <sheetView workbookViewId="0"/>
  </sheetViews>
  <sheetFormatPr defaultRowHeight="15" x14ac:dyDescent="0.25"/>
  <cols>
    <col min="1" max="1" style="6" width="13.576428571428572" customWidth="1" bestFit="1"/>
    <col min="2" max="2" style="7" width="13.576428571428572" customWidth="1" bestFit="1"/>
    <col min="3" max="3" style="7" width="13.576428571428572" customWidth="1" bestFit="1"/>
    <col min="4" max="4" style="7" width="13.576428571428572" customWidth="1" bestFit="1"/>
    <col min="5" max="5" style="7" width="13.576428571428572" customWidth="1" bestFit="1"/>
    <col min="6" max="6" style="7" width="13.576428571428572" customWidth="1" bestFit="1"/>
    <col min="7" max="7" style="7" width="13.576428571428572" customWidth="1" bestFit="1"/>
    <col min="8" max="8" style="7" width="13.576428571428572" customWidth="1" bestFit="1"/>
    <col min="9" max="9" style="7" width="13.576428571428572" customWidth="1" bestFit="1"/>
    <col min="10" max="10" style="7" width="13.576428571428572" customWidth="1" bestFit="1"/>
    <col min="11" max="11" style="7" width="13.576428571428572" customWidth="1" bestFit="1"/>
    <col min="12" max="12" style="7" width="13.576428571428572" customWidth="1" bestFit="1"/>
    <col min="13" max="13" style="7" width="13.576428571428572" customWidth="1" bestFit="1"/>
  </cols>
  <sheetData>
    <row x14ac:dyDescent="0.25" r="1" customHeight="1" ht="18.75">
      <c r="A1" s="1" t="s">
        <v>12</v>
      </c>
      <c r="B1" s="9" t="s">
        <v>13</v>
      </c>
      <c r="C1" s="9"/>
      <c r="D1" s="9"/>
      <c r="E1" s="9"/>
      <c r="F1" s="9"/>
      <c r="G1" s="9"/>
      <c r="H1" s="9"/>
      <c r="I1" s="9"/>
      <c r="J1" s="9"/>
      <c r="K1" s="9"/>
      <c r="L1" s="9"/>
      <c r="M1" s="9"/>
    </row>
    <row x14ac:dyDescent="0.25" r="2" customHeight="1" ht="18.75">
      <c r="A2" s="1" t="s">
        <v>0</v>
      </c>
      <c r="B2" s="14">
        <v>23.06</v>
      </c>
      <c r="C2" s="14">
        <v>23.07</v>
      </c>
      <c r="D2" s="14">
        <v>23.08</v>
      </c>
      <c r="E2" s="14">
        <v>23.09</v>
      </c>
      <c r="F2" s="14">
        <v>23.1</v>
      </c>
      <c r="G2" s="14">
        <v>23.11</v>
      </c>
      <c r="H2" s="14">
        <v>23.12</v>
      </c>
      <c r="I2" s="14">
        <v>24.01</v>
      </c>
      <c r="J2" s="14">
        <v>24.02</v>
      </c>
      <c r="K2" s="14">
        <v>24.03</v>
      </c>
      <c r="L2" s="14">
        <v>24.04</v>
      </c>
      <c r="M2" s="14">
        <v>24.05</v>
      </c>
    </row>
    <row x14ac:dyDescent="0.25" r="3" customHeight="1" ht="18.75">
      <c r="A3" s="1" t="s">
        <v>99</v>
      </c>
      <c r="B3" s="4">
        <v>164166</v>
      </c>
      <c r="C3" s="4">
        <v>160214</v>
      </c>
      <c r="D3" s="4">
        <v>155085</v>
      </c>
      <c r="E3" s="4">
        <v>150791</v>
      </c>
      <c r="F3" s="4">
        <v>148667</v>
      </c>
      <c r="G3" s="4">
        <v>145731</v>
      </c>
      <c r="H3" s="4">
        <v>143929</v>
      </c>
      <c r="I3" s="4">
        <v>129191</v>
      </c>
      <c r="J3" s="4">
        <v>72763</v>
      </c>
      <c r="K3" s="4">
        <v>65338</v>
      </c>
      <c r="L3" s="4">
        <v>63773</v>
      </c>
      <c r="M3" s="4">
        <v>63174</v>
      </c>
    </row>
    <row x14ac:dyDescent="0.25" r="4" customHeight="1" ht="18.75">
      <c r="A4" s="1" t="s">
        <v>100</v>
      </c>
      <c r="B4" s="4">
        <v>23467</v>
      </c>
      <c r="C4" s="4">
        <v>23576</v>
      </c>
      <c r="D4" s="4">
        <v>23449</v>
      </c>
      <c r="E4" s="4">
        <v>23219</v>
      </c>
      <c r="F4" s="4">
        <v>23383</v>
      </c>
      <c r="G4" s="4">
        <v>23468</v>
      </c>
      <c r="H4" s="4">
        <v>23204</v>
      </c>
      <c r="I4" s="4">
        <v>23673</v>
      </c>
      <c r="J4" s="4">
        <v>23623</v>
      </c>
      <c r="K4" s="4">
        <v>22730</v>
      </c>
      <c r="L4" s="4">
        <v>22069</v>
      </c>
      <c r="M4" s="4">
        <v>21950</v>
      </c>
    </row>
    <row x14ac:dyDescent="0.25" r="5" customHeight="1" ht="18.75">
      <c r="A5" s="1" t="s">
        <v>101</v>
      </c>
      <c r="B5" s="4">
        <v>7</v>
      </c>
      <c r="C5" s="4">
        <v>6.8</v>
      </c>
      <c r="D5" s="4">
        <v>6.61</v>
      </c>
      <c r="E5" s="4">
        <v>6.49</v>
      </c>
      <c r="F5" s="4">
        <v>6.36</v>
      </c>
      <c r="G5" s="4">
        <v>6.21</v>
      </c>
      <c r="H5" s="4">
        <v>6.2</v>
      </c>
      <c r="I5" s="4">
        <v>5.46</v>
      </c>
      <c r="J5" s="4">
        <v>3.08</v>
      </c>
      <c r="K5" s="4">
        <v>2.88</v>
      </c>
      <c r="L5" s="4">
        <v>2.89</v>
      </c>
      <c r="M5" s="4">
        <v>2.88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14"/>
  <sheetViews>
    <sheetView workbookViewId="0"/>
  </sheetViews>
  <sheetFormatPr defaultRowHeight="15" x14ac:dyDescent="0.25"/>
  <cols>
    <col min="1" max="1" style="6" width="13.576428571428572" customWidth="1" bestFit="1"/>
    <col min="2" max="2" style="6" width="13.576428571428572" customWidth="1" bestFit="1"/>
    <col min="3" max="3" style="23" width="13.576428571428572" customWidth="1" bestFit="1"/>
    <col min="4" max="4" style="7" width="13.576428571428572" customWidth="1" bestFit="1"/>
    <col min="5" max="5" style="7" width="13.576428571428572" customWidth="1" bestFit="1"/>
    <col min="6" max="6" style="23" width="13.576428571428572" customWidth="1" bestFit="1"/>
    <col min="7" max="7" style="7" width="13.576428571428572" customWidth="1" bestFit="1"/>
    <col min="8" max="8" style="23" width="13.576428571428572" customWidth="1" bestFit="1"/>
    <col min="9" max="9" style="7" width="13.576428571428572" customWidth="1" bestFit="1"/>
    <col min="10" max="10" style="7" width="13.576428571428572" customWidth="1" bestFit="1"/>
    <col min="11" max="11" style="7" width="13.576428571428572" customWidth="1" bestFit="1"/>
    <col min="12" max="12" style="7" width="13.576428571428572" customWidth="1" bestFit="1"/>
    <col min="13" max="13" style="7" width="13.576428571428572" customWidth="1" bestFit="1"/>
    <col min="14" max="14" style="7" width="13.576428571428572" customWidth="1" bestFit="1"/>
  </cols>
  <sheetData>
    <row x14ac:dyDescent="0.25" r="1" customHeight="1" ht="18.75">
      <c r="A1" s="1" t="s">
        <v>12</v>
      </c>
      <c r="B1" s="1" t="s">
        <v>13</v>
      </c>
      <c r="C1" s="20"/>
      <c r="D1" s="9"/>
      <c r="E1" s="9"/>
      <c r="F1" s="20"/>
      <c r="G1" s="9"/>
      <c r="H1" s="20"/>
      <c r="I1" s="9"/>
      <c r="J1" s="9"/>
      <c r="K1" s="9"/>
      <c r="L1" s="9"/>
      <c r="M1" s="9"/>
      <c r="N1" s="9"/>
    </row>
    <row x14ac:dyDescent="0.25" r="2" customHeight="1" ht="18.75">
      <c r="A2" s="1" t="s">
        <v>0</v>
      </c>
      <c r="B2" s="1"/>
      <c r="C2" s="14">
        <v>23.06</v>
      </c>
      <c r="D2" s="14">
        <v>23.07</v>
      </c>
      <c r="E2" s="14">
        <v>23.08</v>
      </c>
      <c r="F2" s="14">
        <v>23.09</v>
      </c>
      <c r="G2" s="14">
        <v>23.1</v>
      </c>
      <c r="H2" s="14">
        <v>23.11</v>
      </c>
      <c r="I2" s="14">
        <v>23.12</v>
      </c>
      <c r="J2" s="14">
        <v>24.01</v>
      </c>
      <c r="K2" s="14">
        <v>24.02</v>
      </c>
      <c r="L2" s="14">
        <v>24.03</v>
      </c>
      <c r="M2" s="14">
        <v>24.04</v>
      </c>
      <c r="N2" s="14">
        <v>24.05</v>
      </c>
    </row>
    <row x14ac:dyDescent="0.25" r="3" customHeight="1" ht="18.75">
      <c r="A3" s="1" t="s">
        <v>173</v>
      </c>
      <c r="B3" s="1"/>
      <c r="C3" s="4">
        <v>148454</v>
      </c>
      <c r="D3" s="4">
        <v>140888</v>
      </c>
      <c r="E3" s="4">
        <v>135525</v>
      </c>
      <c r="F3" s="4">
        <v>132827</v>
      </c>
      <c r="G3" s="4">
        <v>128109</v>
      </c>
      <c r="H3" s="4">
        <v>126387</v>
      </c>
      <c r="I3" s="4">
        <v>119583</v>
      </c>
      <c r="J3" s="4">
        <v>97581</v>
      </c>
      <c r="K3" s="4">
        <v>48693</v>
      </c>
      <c r="L3" s="4">
        <v>44294</v>
      </c>
      <c r="M3" s="4">
        <v>45625</v>
      </c>
      <c r="N3" s="4">
        <v>43809</v>
      </c>
    </row>
    <row x14ac:dyDescent="0.25" r="4" customHeight="1" ht="18.75">
      <c r="A4" s="1" t="s">
        <v>253</v>
      </c>
      <c r="B4" s="1" t="s">
        <v>254</v>
      </c>
      <c r="C4" s="4">
        <v>1515</v>
      </c>
      <c r="D4" s="4">
        <v>1635</v>
      </c>
      <c r="E4" s="4">
        <v>1699</v>
      </c>
      <c r="F4" s="4">
        <v>1977</v>
      </c>
      <c r="G4" s="4">
        <v>826</v>
      </c>
      <c r="H4" s="4">
        <v>2375</v>
      </c>
      <c r="I4" s="4">
        <v>1349</v>
      </c>
      <c r="J4" s="4">
        <v>1685</v>
      </c>
      <c r="K4" s="4">
        <v>911</v>
      </c>
      <c r="L4" s="4">
        <v>296</v>
      </c>
      <c r="M4" s="4">
        <v>455</v>
      </c>
      <c r="N4" s="4">
        <v>362</v>
      </c>
    </row>
    <row x14ac:dyDescent="0.25" r="5" customHeight="1" ht="18.75">
      <c r="A5" s="1"/>
      <c r="B5" s="1" t="s">
        <v>255</v>
      </c>
      <c r="C5" s="4">
        <v>1481</v>
      </c>
      <c r="D5" s="4">
        <v>2732</v>
      </c>
      <c r="E5" s="4">
        <v>1868</v>
      </c>
      <c r="F5" s="4">
        <v>1875</v>
      </c>
      <c r="G5" s="4">
        <v>3667</v>
      </c>
      <c r="H5" s="4">
        <v>1666</v>
      </c>
      <c r="I5" s="4">
        <v>1807</v>
      </c>
      <c r="J5" s="4">
        <v>2832</v>
      </c>
      <c r="K5" s="4">
        <v>1427</v>
      </c>
      <c r="L5" s="4">
        <v>286</v>
      </c>
      <c r="M5" s="4">
        <v>333</v>
      </c>
      <c r="N5" s="4">
        <v>677</v>
      </c>
    </row>
    <row x14ac:dyDescent="0.25" r="6" customHeight="1" ht="18.75">
      <c r="A6" s="1"/>
      <c r="B6" s="1" t="s">
        <v>256</v>
      </c>
      <c r="C6" s="4">
        <v>15668</v>
      </c>
      <c r="D6" s="4">
        <v>10087</v>
      </c>
      <c r="E6" s="4">
        <v>11622</v>
      </c>
      <c r="F6" s="4">
        <v>12598</v>
      </c>
      <c r="G6" s="4">
        <v>12440</v>
      </c>
      <c r="H6" s="4">
        <v>14230</v>
      </c>
      <c r="I6" s="4">
        <v>9801</v>
      </c>
      <c r="J6" s="4">
        <v>10008</v>
      </c>
      <c r="K6" s="4">
        <v>12511</v>
      </c>
      <c r="L6" s="4">
        <v>12941</v>
      </c>
      <c r="M6" s="4">
        <v>12760</v>
      </c>
      <c r="N6" s="4">
        <v>11897</v>
      </c>
    </row>
    <row x14ac:dyDescent="0.25" r="7" customHeight="1" ht="18.75">
      <c r="A7" s="1"/>
      <c r="B7" s="1" t="s">
        <v>257</v>
      </c>
      <c r="C7" s="4">
        <v>18665</v>
      </c>
      <c r="D7" s="4">
        <v>14454</v>
      </c>
      <c r="E7" s="4">
        <v>15188</v>
      </c>
      <c r="F7" s="4">
        <v>16450</v>
      </c>
      <c r="G7" s="4">
        <v>16933</v>
      </c>
      <c r="H7" s="4">
        <v>18270</v>
      </c>
      <c r="I7" s="4">
        <v>12957</v>
      </c>
      <c r="J7" s="4">
        <v>14525</v>
      </c>
      <c r="K7" s="4">
        <v>14850</v>
      </c>
      <c r="L7" s="4">
        <v>13523</v>
      </c>
      <c r="M7" s="4">
        <v>13548</v>
      </c>
      <c r="N7" s="4">
        <v>12936</v>
      </c>
    </row>
    <row x14ac:dyDescent="0.25" r="8" customHeight="1" ht="18.75">
      <c r="A8" s="1" t="s">
        <v>258</v>
      </c>
      <c r="B8" s="1" t="s">
        <v>254</v>
      </c>
      <c r="C8" s="4">
        <v>0.0102</v>
      </c>
      <c r="D8" s="4">
        <v>0.0117</v>
      </c>
      <c r="E8" s="4">
        <v>0.0125</v>
      </c>
      <c r="F8" s="4">
        <v>0.0149</v>
      </c>
      <c r="G8" s="4">
        <v>0.0064</v>
      </c>
      <c r="H8" s="4">
        <v>0.0188</v>
      </c>
      <c r="I8" s="4">
        <v>0.0113</v>
      </c>
      <c r="J8" s="4">
        <v>0.0173</v>
      </c>
      <c r="K8" s="4">
        <v>0.0187</v>
      </c>
      <c r="L8" s="4">
        <v>0.0067</v>
      </c>
      <c r="M8" s="4">
        <v>0.01</v>
      </c>
      <c r="N8" s="4">
        <v>0.0083</v>
      </c>
    </row>
    <row x14ac:dyDescent="0.25" r="9" customHeight="1" ht="18.75">
      <c r="A9" s="1"/>
      <c r="B9" s="1" t="s">
        <v>255</v>
      </c>
      <c r="C9" s="4">
        <v>0.01</v>
      </c>
      <c r="D9" s="4">
        <v>0.0195</v>
      </c>
      <c r="E9" s="4">
        <v>0.0138</v>
      </c>
      <c r="F9" s="4">
        <v>0.0141</v>
      </c>
      <c r="G9" s="4">
        <v>0.0286</v>
      </c>
      <c r="H9" s="4">
        <v>0.0132</v>
      </c>
      <c r="I9" s="4">
        <v>0.0151</v>
      </c>
      <c r="J9" s="4">
        <v>0.029</v>
      </c>
      <c r="K9" s="4">
        <v>0.0293</v>
      </c>
      <c r="L9" s="4">
        <v>0.0064</v>
      </c>
      <c r="M9" s="4">
        <v>0.0073</v>
      </c>
      <c r="N9" s="4">
        <v>0.0155</v>
      </c>
    </row>
    <row x14ac:dyDescent="0.25" r="10" customHeight="1" ht="18.75">
      <c r="A10" s="1"/>
      <c r="B10" s="1" t="s">
        <v>256</v>
      </c>
      <c r="C10" s="4">
        <v>0.1055</v>
      </c>
      <c r="D10" s="4">
        <v>0.072</v>
      </c>
      <c r="E10" s="4">
        <v>0.0858</v>
      </c>
      <c r="F10" s="4">
        <v>0.0948</v>
      </c>
      <c r="G10" s="4">
        <v>0.0971</v>
      </c>
      <c r="H10" s="4">
        <v>0.1126</v>
      </c>
      <c r="I10" s="4">
        <v>0.082</v>
      </c>
      <c r="J10" s="4">
        <v>0.1026</v>
      </c>
      <c r="K10" s="4">
        <v>0.2569</v>
      </c>
      <c r="L10" s="4">
        <v>0.2922</v>
      </c>
      <c r="M10" s="4">
        <v>0.2797</v>
      </c>
      <c r="N10" s="4">
        <v>0.2716</v>
      </c>
    </row>
    <row x14ac:dyDescent="0.25" r="11" customHeight="1" ht="18.75">
      <c r="A11" s="1"/>
      <c r="B11" s="1" t="s">
        <v>257</v>
      </c>
      <c r="C11" s="4">
        <v>0.1257</v>
      </c>
      <c r="D11" s="4">
        <v>0.1032</v>
      </c>
      <c r="E11" s="4">
        <v>0.1121</v>
      </c>
      <c r="F11" s="4">
        <v>0.1238</v>
      </c>
      <c r="G11" s="4">
        <v>0.1322</v>
      </c>
      <c r="H11" s="4">
        <v>0.1446</v>
      </c>
      <c r="I11" s="4">
        <v>0.1083</v>
      </c>
      <c r="J11" s="4">
        <v>0.1489</v>
      </c>
      <c r="K11" s="4">
        <v>0.305</v>
      </c>
      <c r="L11" s="4">
        <v>0.3053</v>
      </c>
      <c r="M11" s="4">
        <v>0.297</v>
      </c>
      <c r="N11" s="4">
        <v>0.2953</v>
      </c>
    </row>
    <row x14ac:dyDescent="0.25" r="12" customHeight="1" ht="18.75">
      <c r="A12" s="1" t="s">
        <v>259</v>
      </c>
      <c r="B12" s="1"/>
      <c r="C12" s="4">
        <v>11698</v>
      </c>
      <c r="D12" s="4">
        <v>7733</v>
      </c>
      <c r="E12" s="4">
        <v>8334</v>
      </c>
      <c r="F12" s="4">
        <v>9122</v>
      </c>
      <c r="G12" s="4">
        <v>9126</v>
      </c>
      <c r="H12" s="4">
        <v>9800</v>
      </c>
      <c r="I12" s="4">
        <v>5768</v>
      </c>
      <c r="J12" s="4">
        <v>6715</v>
      </c>
      <c r="K12" s="4">
        <v>7496</v>
      </c>
      <c r="L12" s="4">
        <v>7950</v>
      </c>
      <c r="M12" s="4">
        <v>8364</v>
      </c>
      <c r="N12" s="4">
        <v>8353</v>
      </c>
    </row>
    <row x14ac:dyDescent="0.25" r="13" customHeight="1" ht="18.75">
      <c r="A13" s="1" t="s">
        <v>260</v>
      </c>
      <c r="B13" s="1"/>
      <c r="C13" s="4">
        <v>335</v>
      </c>
      <c r="D13" s="4">
        <v>-215</v>
      </c>
      <c r="E13" s="4">
        <v>60</v>
      </c>
      <c r="F13" s="4">
        <v>21</v>
      </c>
      <c r="G13" s="4">
        <v>29</v>
      </c>
      <c r="H13" s="4">
        <v>39</v>
      </c>
      <c r="I13" s="4">
        <v>136</v>
      </c>
      <c r="J13" s="4">
        <v>1</v>
      </c>
      <c r="K13" s="4">
        <v>3</v>
      </c>
      <c r="L13" s="4">
        <v>15</v>
      </c>
      <c r="M13" s="4">
        <v>34</v>
      </c>
      <c r="N13" s="4">
        <v>6</v>
      </c>
    </row>
    <row x14ac:dyDescent="0.25" r="14" customHeight="1" ht="18.75">
      <c r="A14" s="1" t="s">
        <v>261</v>
      </c>
      <c r="B14" s="1"/>
      <c r="C14" s="2" t="s">
        <v>74</v>
      </c>
      <c r="D14" s="4">
        <v>7843</v>
      </c>
      <c r="E14" s="4">
        <v>282</v>
      </c>
      <c r="F14" s="2" t="s">
        <v>74</v>
      </c>
      <c r="G14" s="4">
        <v>891</v>
      </c>
      <c r="H14" s="2" t="s">
        <v>74</v>
      </c>
      <c r="I14" s="4">
        <v>4972</v>
      </c>
      <c r="J14" s="4">
        <v>19173</v>
      </c>
      <c r="K14" s="4">
        <v>52132</v>
      </c>
      <c r="L14" s="4">
        <v>13915</v>
      </c>
      <c r="M14" s="4">
        <v>-226</v>
      </c>
      <c r="N14" s="4">
        <v>-94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16"/>
  <sheetViews>
    <sheetView workbookViewId="0"/>
  </sheetViews>
  <sheetFormatPr defaultRowHeight="15" x14ac:dyDescent="0.25"/>
  <cols>
    <col min="1" max="1" style="6" width="13.576428571428572" customWidth="1" bestFit="1"/>
    <col min="2" max="2" style="23" width="13.576428571428572" customWidth="1" bestFit="1"/>
    <col min="3" max="3" style="7" width="13.576428571428572" customWidth="1" bestFit="1"/>
    <col min="4" max="4" style="7" width="13.576428571428572" customWidth="1" bestFit="1"/>
    <col min="5" max="5" style="7" width="13.576428571428572" customWidth="1" bestFit="1"/>
    <col min="6" max="6" style="7" width="13.576428571428572" customWidth="1" bestFit="1"/>
    <col min="7" max="7" style="7" width="13.576428571428572" customWidth="1" bestFit="1"/>
    <col min="8" max="8" style="22" width="13.576428571428572" customWidth="1" bestFit="1"/>
    <col min="9" max="9" style="7" width="13.576428571428572" customWidth="1" bestFit="1"/>
    <col min="10" max="10" style="22" width="13.576428571428572" customWidth="1" bestFit="1"/>
    <col min="11" max="11" style="22" width="13.576428571428572" customWidth="1" bestFit="1"/>
    <col min="12" max="12" style="22" width="13.576428571428572" customWidth="1" bestFit="1"/>
    <col min="13" max="13" style="7" width="13.576428571428572" customWidth="1" bestFit="1"/>
    <col min="14" max="14" style="22" width="13.576428571428572" customWidth="1" bestFit="1"/>
  </cols>
  <sheetData>
    <row x14ac:dyDescent="0.25" r="1" customHeight="1" ht="18.75">
      <c r="A1" s="1" t="s">
        <v>239</v>
      </c>
      <c r="B1" s="4">
        <v>2024</v>
      </c>
      <c r="C1" s="9"/>
      <c r="D1" s="9"/>
      <c r="E1" s="9"/>
      <c r="F1" s="9"/>
      <c r="G1" s="9"/>
      <c r="H1" s="19"/>
      <c r="I1" s="9"/>
      <c r="J1" s="19"/>
      <c r="K1" s="19"/>
      <c r="L1" s="19"/>
      <c r="M1" s="9"/>
      <c r="N1" s="19"/>
    </row>
    <row x14ac:dyDescent="0.25" r="2" customHeight="1" ht="18.75">
      <c r="A2" s="1" t="s">
        <v>12</v>
      </c>
      <c r="B2" s="20" t="s">
        <v>13</v>
      </c>
      <c r="C2" s="9"/>
      <c r="D2" s="9"/>
      <c r="E2" s="9"/>
      <c r="F2" s="9"/>
      <c r="G2" s="9"/>
      <c r="H2" s="19"/>
      <c r="I2" s="9"/>
      <c r="J2" s="19"/>
      <c r="K2" s="19"/>
      <c r="L2" s="19"/>
      <c r="M2" s="9"/>
      <c r="N2" s="19"/>
    </row>
    <row x14ac:dyDescent="0.25" r="3" customHeight="1" ht="18.75">
      <c r="A3" s="1" t="s">
        <v>240</v>
      </c>
      <c r="B3" s="20"/>
      <c r="C3" s="14">
        <v>24.01</v>
      </c>
      <c r="D3" s="9"/>
      <c r="E3" s="14">
        <v>24.02</v>
      </c>
      <c r="F3" s="9"/>
      <c r="G3" s="14">
        <v>24.03</v>
      </c>
      <c r="H3" s="19"/>
      <c r="I3" s="14">
        <v>24.04</v>
      </c>
      <c r="J3" s="19"/>
      <c r="K3" s="14">
        <v>24.05</v>
      </c>
      <c r="L3" s="19"/>
      <c r="M3" s="14">
        <v>24.06</v>
      </c>
      <c r="N3" s="19"/>
    </row>
    <row x14ac:dyDescent="0.25" r="4" customHeight="1" ht="18.75">
      <c r="A4" s="1"/>
      <c r="B4" s="20"/>
      <c r="C4" s="9" t="s">
        <v>241</v>
      </c>
      <c r="D4" s="9" t="s">
        <v>242</v>
      </c>
      <c r="E4" s="9" t="s">
        <v>241</v>
      </c>
      <c r="F4" s="9" t="s">
        <v>242</v>
      </c>
      <c r="G4" s="9" t="s">
        <v>241</v>
      </c>
      <c r="H4" s="19" t="s">
        <v>242</v>
      </c>
      <c r="I4" s="9" t="s">
        <v>241</v>
      </c>
      <c r="J4" s="19" t="s">
        <v>242</v>
      </c>
      <c r="K4" s="19" t="s">
        <v>241</v>
      </c>
      <c r="L4" s="19" t="s">
        <v>242</v>
      </c>
      <c r="M4" s="9" t="s">
        <v>241</v>
      </c>
      <c r="N4" s="19" t="s">
        <v>242</v>
      </c>
    </row>
    <row x14ac:dyDescent="0.25" r="5" customHeight="1" ht="18.75">
      <c r="A5" s="1" t="s">
        <v>243</v>
      </c>
      <c r="B5" s="20"/>
      <c r="C5" s="4">
        <v>97581</v>
      </c>
      <c r="D5" s="9"/>
      <c r="E5" s="4">
        <v>48693</v>
      </c>
      <c r="F5" s="9"/>
      <c r="G5" s="4">
        <v>44294</v>
      </c>
      <c r="H5" s="19"/>
      <c r="I5" s="4">
        <v>45625</v>
      </c>
      <c r="J5" s="19"/>
      <c r="K5" s="4">
        <v>43809</v>
      </c>
      <c r="L5" s="19"/>
      <c r="M5" s="4">
        <v>45060</v>
      </c>
      <c r="N5" s="19"/>
    </row>
    <row x14ac:dyDescent="0.25" r="6" customHeight="1" ht="18.75">
      <c r="A6" s="1" t="s">
        <v>244</v>
      </c>
      <c r="B6" s="20" t="s">
        <v>245</v>
      </c>
      <c r="C6" s="4">
        <v>164</v>
      </c>
      <c r="D6" s="4">
        <v>34</v>
      </c>
      <c r="E6" s="4">
        <v>18</v>
      </c>
      <c r="F6" s="4">
        <v>84</v>
      </c>
      <c r="G6" s="4">
        <v>5</v>
      </c>
      <c r="H6" s="4">
        <v>126</v>
      </c>
      <c r="I6" s="4">
        <v>25</v>
      </c>
      <c r="J6" s="4">
        <v>153</v>
      </c>
      <c r="K6" s="4">
        <v>194</v>
      </c>
      <c r="L6" s="4">
        <v>127</v>
      </c>
      <c r="M6" s="4">
        <v>236</v>
      </c>
      <c r="N6" s="4">
        <v>115</v>
      </c>
    </row>
    <row x14ac:dyDescent="0.25" r="7" customHeight="1" ht="18.75">
      <c r="A7" s="1"/>
      <c r="B7" s="20" t="s">
        <v>246</v>
      </c>
      <c r="C7" s="4">
        <v>1364</v>
      </c>
      <c r="D7" s="4">
        <v>572</v>
      </c>
      <c r="E7" s="4">
        <v>3663</v>
      </c>
      <c r="F7" s="4">
        <v>1548</v>
      </c>
      <c r="G7" s="4">
        <v>8178</v>
      </c>
      <c r="H7" s="4">
        <v>2351</v>
      </c>
      <c r="I7" s="4">
        <v>762</v>
      </c>
      <c r="J7" s="4">
        <v>3208</v>
      </c>
      <c r="K7" s="4">
        <v>2354</v>
      </c>
      <c r="L7" s="4">
        <v>2869</v>
      </c>
      <c r="M7" s="4">
        <v>2229</v>
      </c>
      <c r="N7" s="4">
        <v>2408</v>
      </c>
    </row>
    <row x14ac:dyDescent="0.25" r="8" customHeight="1" ht="18.75">
      <c r="A8" s="1"/>
      <c r="B8" s="20" t="s">
        <v>1</v>
      </c>
      <c r="C8" s="4">
        <v>1210</v>
      </c>
      <c r="D8" s="4">
        <v>560</v>
      </c>
      <c r="E8" s="4">
        <v>4846</v>
      </c>
      <c r="F8" s="4">
        <v>2054</v>
      </c>
      <c r="G8" s="4">
        <v>12958</v>
      </c>
      <c r="H8" s="4">
        <v>4186</v>
      </c>
      <c r="I8" s="4">
        <v>11597</v>
      </c>
      <c r="J8" s="4">
        <v>6827</v>
      </c>
      <c r="K8" s="4">
        <v>8862</v>
      </c>
      <c r="L8" s="4">
        <v>8972</v>
      </c>
      <c r="M8" s="4">
        <v>8929</v>
      </c>
      <c r="N8" s="4">
        <v>10448</v>
      </c>
    </row>
    <row x14ac:dyDescent="0.25" r="9" customHeight="1" ht="18.75">
      <c r="A9" s="1" t="s">
        <v>247</v>
      </c>
      <c r="B9" s="20" t="s">
        <v>248</v>
      </c>
      <c r="C9" s="4">
        <v>0</v>
      </c>
      <c r="D9" s="4">
        <v>0</v>
      </c>
      <c r="E9" s="4">
        <v>0</v>
      </c>
      <c r="F9" s="4">
        <v>0</v>
      </c>
      <c r="G9" s="4">
        <v>10</v>
      </c>
      <c r="H9" s="4">
        <v>30</v>
      </c>
      <c r="I9" s="4">
        <v>10</v>
      </c>
      <c r="J9" s="4">
        <v>30</v>
      </c>
      <c r="K9" s="4">
        <v>15</v>
      </c>
      <c r="L9" s="4">
        <v>20</v>
      </c>
      <c r="M9" s="4">
        <v>3</v>
      </c>
      <c r="N9" s="4">
        <v>80</v>
      </c>
    </row>
    <row x14ac:dyDescent="0.25" r="10" customHeight="1" ht="18.75">
      <c r="A10" s="1"/>
      <c r="B10" s="20" t="s">
        <v>249</v>
      </c>
      <c r="C10" s="4">
        <v>0</v>
      </c>
      <c r="D10" s="4">
        <v>0</v>
      </c>
      <c r="E10" s="4">
        <v>0</v>
      </c>
      <c r="F10" s="4">
        <v>0</v>
      </c>
      <c r="G10" s="4">
        <v>0</v>
      </c>
      <c r="H10" s="4">
        <v>0</v>
      </c>
      <c r="I10" s="4">
        <v>0</v>
      </c>
      <c r="J10" s="4">
        <v>0</v>
      </c>
      <c r="K10" s="4">
        <v>7</v>
      </c>
      <c r="L10" s="4">
        <v>0</v>
      </c>
      <c r="M10" s="4">
        <v>0</v>
      </c>
      <c r="N10" s="4">
        <v>0</v>
      </c>
    </row>
    <row x14ac:dyDescent="0.25" r="11" customHeight="1" ht="18.75">
      <c r="A11" s="1"/>
      <c r="B11" s="20" t="s">
        <v>250</v>
      </c>
      <c r="C11" s="4">
        <v>0</v>
      </c>
      <c r="D11" s="4">
        <v>0</v>
      </c>
      <c r="E11" s="4">
        <v>0</v>
      </c>
      <c r="F11" s="4">
        <v>0</v>
      </c>
      <c r="G11" s="4">
        <v>0</v>
      </c>
      <c r="H11" s="4">
        <v>0</v>
      </c>
      <c r="I11" s="4">
        <v>0</v>
      </c>
      <c r="J11" s="4">
        <v>0</v>
      </c>
      <c r="K11" s="4">
        <v>10</v>
      </c>
      <c r="L11" s="4">
        <v>30</v>
      </c>
      <c r="M11" s="4">
        <v>10</v>
      </c>
      <c r="N11" s="4">
        <v>30</v>
      </c>
    </row>
    <row x14ac:dyDescent="0.25" r="12" customHeight="1" ht="18.75">
      <c r="A12" s="1"/>
      <c r="B12" s="20" t="s">
        <v>251</v>
      </c>
      <c r="C12" s="4">
        <v>0</v>
      </c>
      <c r="D12" s="4">
        <v>0</v>
      </c>
      <c r="E12" s="4">
        <v>0</v>
      </c>
      <c r="F12" s="4">
        <v>0</v>
      </c>
      <c r="G12" s="4">
        <v>10</v>
      </c>
      <c r="H12" s="4">
        <v>30</v>
      </c>
      <c r="I12" s="4">
        <v>10</v>
      </c>
      <c r="J12" s="4">
        <v>30</v>
      </c>
      <c r="K12" s="4">
        <v>32</v>
      </c>
      <c r="L12" s="4">
        <v>50</v>
      </c>
      <c r="M12" s="4">
        <v>13</v>
      </c>
      <c r="N12" s="4">
        <v>110</v>
      </c>
    </row>
    <row x14ac:dyDescent="0.25" r="13" customHeight="1" ht="18.75">
      <c r="A13" s="1" t="s">
        <v>252</v>
      </c>
      <c r="B13" s="20" t="s">
        <v>248</v>
      </c>
      <c r="C13" s="4">
        <v>0</v>
      </c>
      <c r="D13" s="4">
        <v>0</v>
      </c>
      <c r="E13" s="4">
        <v>0</v>
      </c>
      <c r="F13" s="4">
        <v>0</v>
      </c>
      <c r="G13" s="4">
        <v>0</v>
      </c>
      <c r="H13" s="14">
        <v>0.001</v>
      </c>
      <c r="I13" s="4">
        <v>0</v>
      </c>
      <c r="J13" s="14">
        <v>0.001</v>
      </c>
      <c r="K13" s="4">
        <v>0</v>
      </c>
      <c r="L13" s="4">
        <v>0</v>
      </c>
      <c r="M13" s="4">
        <v>0</v>
      </c>
      <c r="N13" s="14">
        <v>0.002</v>
      </c>
    </row>
    <row x14ac:dyDescent="0.25" r="14" customHeight="1" ht="18.75">
      <c r="A14" s="1"/>
      <c r="B14" s="20" t="s">
        <v>249</v>
      </c>
      <c r="C14" s="4">
        <v>0</v>
      </c>
      <c r="D14" s="4">
        <v>0</v>
      </c>
      <c r="E14" s="4">
        <v>0</v>
      </c>
      <c r="F14" s="4">
        <v>0</v>
      </c>
      <c r="G14" s="4">
        <v>0</v>
      </c>
      <c r="H14" s="4">
        <v>0</v>
      </c>
      <c r="I14" s="4">
        <v>0</v>
      </c>
      <c r="J14" s="4">
        <v>0</v>
      </c>
      <c r="K14" s="4">
        <v>0</v>
      </c>
      <c r="L14" s="4">
        <v>0</v>
      </c>
      <c r="M14" s="4">
        <v>0</v>
      </c>
      <c r="N14" s="4">
        <v>0</v>
      </c>
    </row>
    <row x14ac:dyDescent="0.25" r="15" customHeight="1" ht="18.75">
      <c r="A15" s="1"/>
      <c r="B15" s="20" t="s">
        <v>250</v>
      </c>
      <c r="C15" s="4">
        <v>0</v>
      </c>
      <c r="D15" s="4">
        <v>0</v>
      </c>
      <c r="E15" s="4">
        <v>0</v>
      </c>
      <c r="F15" s="4">
        <v>0</v>
      </c>
      <c r="G15" s="4">
        <v>0</v>
      </c>
      <c r="H15" s="4">
        <v>0</v>
      </c>
      <c r="I15" s="4">
        <v>0</v>
      </c>
      <c r="J15" s="4">
        <v>0</v>
      </c>
      <c r="K15" s="4">
        <v>0</v>
      </c>
      <c r="L15" s="14">
        <v>0.001</v>
      </c>
      <c r="M15" s="4">
        <v>0</v>
      </c>
      <c r="N15" s="14">
        <v>0.001</v>
      </c>
    </row>
    <row x14ac:dyDescent="0.25" r="16" customHeight="1" ht="18.75">
      <c r="A16" s="1"/>
      <c r="B16" s="20" t="s">
        <v>251</v>
      </c>
      <c r="C16" s="4">
        <v>0</v>
      </c>
      <c r="D16" s="4">
        <v>0</v>
      </c>
      <c r="E16" s="4">
        <v>0</v>
      </c>
      <c r="F16" s="4">
        <v>0</v>
      </c>
      <c r="G16" s="4">
        <v>0</v>
      </c>
      <c r="H16" s="14">
        <v>0.001</v>
      </c>
      <c r="I16" s="4">
        <v>0</v>
      </c>
      <c r="J16" s="14">
        <v>0.001</v>
      </c>
      <c r="K16" s="14">
        <v>0.001</v>
      </c>
      <c r="L16" s="14">
        <v>0.001</v>
      </c>
      <c r="M16" s="4">
        <v>0</v>
      </c>
      <c r="N16" s="14">
        <v>0.002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15"/>
  <sheetViews>
    <sheetView workbookViewId="0"/>
  </sheetViews>
  <sheetFormatPr defaultRowHeight="15" x14ac:dyDescent="0.25"/>
  <cols>
    <col min="1" max="1" style="6" width="13.576428571428572" customWidth="1" bestFit="1"/>
    <col min="2" max="2" style="6" width="13.576428571428572" customWidth="1" bestFit="1"/>
    <col min="3" max="3" style="31" width="13.576428571428572" customWidth="1" bestFit="1"/>
    <col min="4" max="4" style="31" width="13.576428571428572" customWidth="1" bestFit="1"/>
    <col min="5" max="5" style="31" width="13.576428571428572" customWidth="1" bestFit="1"/>
    <col min="6" max="6" style="31" width="13.576428571428572" customWidth="1" bestFit="1"/>
    <col min="7" max="7" style="31" width="13.576428571428572" customWidth="1" bestFit="1"/>
    <col min="8" max="8" style="31" width="13.576428571428572" customWidth="1" bestFit="1"/>
    <col min="9" max="9" style="31" width="13.576428571428572" customWidth="1" bestFit="1"/>
    <col min="10" max="10" style="31" width="13.576428571428572" customWidth="1" bestFit="1"/>
    <col min="11" max="11" style="31" width="13.576428571428572" customWidth="1" bestFit="1"/>
    <col min="12" max="12" style="31" width="13.576428571428572" customWidth="1" bestFit="1"/>
    <col min="13" max="13" style="31" width="13.576428571428572" customWidth="1" bestFit="1"/>
    <col min="14" max="14" style="31" width="13.576428571428572" customWidth="1" bestFit="1"/>
  </cols>
  <sheetData>
    <row x14ac:dyDescent="0.25" r="1" customHeight="1" ht="18.75">
      <c r="A1" s="1" t="s">
        <v>12</v>
      </c>
      <c r="B1" s="1" t="s">
        <v>13</v>
      </c>
      <c r="C1" s="29"/>
      <c r="D1" s="29"/>
      <c r="E1" s="29"/>
      <c r="F1" s="29"/>
      <c r="G1" s="29"/>
      <c r="H1" s="29"/>
      <c r="I1" s="29"/>
      <c r="J1" s="29"/>
      <c r="K1" s="29"/>
      <c r="L1" s="29"/>
      <c r="M1" s="29"/>
      <c r="N1" s="29"/>
    </row>
    <row x14ac:dyDescent="0.25" r="2" customHeight="1" ht="18.75">
      <c r="A2" s="1" t="s">
        <v>0</v>
      </c>
      <c r="B2" s="1"/>
      <c r="C2" s="14">
        <v>23.06</v>
      </c>
      <c r="D2" s="14">
        <v>23.07</v>
      </c>
      <c r="E2" s="14">
        <v>23.08</v>
      </c>
      <c r="F2" s="14">
        <v>23.09</v>
      </c>
      <c r="G2" s="14">
        <v>23.1</v>
      </c>
      <c r="H2" s="14">
        <v>23.11</v>
      </c>
      <c r="I2" s="14">
        <v>23.12</v>
      </c>
      <c r="J2" s="14">
        <v>24.01</v>
      </c>
      <c r="K2" s="14">
        <v>24.02</v>
      </c>
      <c r="L2" s="14">
        <v>24.03</v>
      </c>
      <c r="M2" s="14">
        <v>24.04</v>
      </c>
      <c r="N2" s="14">
        <v>24.05</v>
      </c>
    </row>
    <row x14ac:dyDescent="0.25" r="3" customHeight="1" ht="18.75">
      <c r="A3" s="1" t="s">
        <v>173</v>
      </c>
      <c r="B3" s="1"/>
      <c r="C3" s="4">
        <v>148454</v>
      </c>
      <c r="D3" s="4">
        <v>140088</v>
      </c>
      <c r="E3" s="4">
        <v>135525</v>
      </c>
      <c r="F3" s="4">
        <v>132827</v>
      </c>
      <c r="G3" s="4">
        <v>128109</v>
      </c>
      <c r="H3" s="4">
        <v>126387</v>
      </c>
      <c r="I3" s="4">
        <v>119583</v>
      </c>
      <c r="J3" s="4">
        <v>97581</v>
      </c>
      <c r="K3" s="4">
        <v>48693</v>
      </c>
      <c r="L3" s="4">
        <v>44294</v>
      </c>
      <c r="M3" s="4">
        <v>45625</v>
      </c>
      <c r="N3" s="4">
        <v>43809</v>
      </c>
    </row>
    <row x14ac:dyDescent="0.25" r="4" customHeight="1" ht="18.75">
      <c r="A4" s="1" t="s">
        <v>233</v>
      </c>
      <c r="B4" s="1" t="s">
        <v>234</v>
      </c>
      <c r="C4" s="4">
        <v>11154</v>
      </c>
      <c r="D4" s="4">
        <v>11698</v>
      </c>
      <c r="E4" s="4">
        <v>7733</v>
      </c>
      <c r="F4" s="4">
        <v>8334</v>
      </c>
      <c r="G4" s="4">
        <v>9122</v>
      </c>
      <c r="H4" s="4">
        <v>9126</v>
      </c>
      <c r="I4" s="4">
        <v>9800</v>
      </c>
      <c r="J4" s="4">
        <v>5768</v>
      </c>
      <c r="K4" s="4">
        <v>6222</v>
      </c>
      <c r="L4" s="4">
        <v>6773</v>
      </c>
      <c r="M4" s="4">
        <v>7279</v>
      </c>
      <c r="N4" s="4">
        <v>8364</v>
      </c>
    </row>
    <row x14ac:dyDescent="0.25" r="5" customHeight="1" ht="18.75">
      <c r="A5" s="1"/>
      <c r="B5" s="1" t="s">
        <v>235</v>
      </c>
      <c r="C5" s="4">
        <v>878</v>
      </c>
      <c r="D5" s="4">
        <v>902</v>
      </c>
      <c r="E5" s="4">
        <v>944</v>
      </c>
      <c r="F5" s="4">
        <v>808</v>
      </c>
      <c r="G5" s="4">
        <v>687</v>
      </c>
      <c r="H5" s="4">
        <v>713</v>
      </c>
      <c r="I5" s="4">
        <v>177</v>
      </c>
      <c r="J5" s="4">
        <v>948</v>
      </c>
      <c r="K5" s="4">
        <v>784</v>
      </c>
      <c r="L5" s="4">
        <v>468</v>
      </c>
      <c r="M5" s="4">
        <v>449</v>
      </c>
      <c r="N5" s="4">
        <v>-6</v>
      </c>
    </row>
    <row x14ac:dyDescent="0.25" r="6" customHeight="1" ht="18.75">
      <c r="A6" s="1"/>
      <c r="B6" s="1" t="s">
        <v>236</v>
      </c>
      <c r="C6" s="4">
        <v>335</v>
      </c>
      <c r="D6" s="4">
        <v>4867</v>
      </c>
      <c r="E6" s="4">
        <v>342</v>
      </c>
      <c r="F6" s="4">
        <v>21</v>
      </c>
      <c r="G6" s="4">
        <v>683</v>
      </c>
      <c r="H6" s="4">
        <v>39</v>
      </c>
      <c r="I6" s="4">
        <v>4209</v>
      </c>
      <c r="J6" s="4">
        <v>0</v>
      </c>
      <c r="K6" s="4">
        <v>3</v>
      </c>
      <c r="L6" s="4">
        <v>15</v>
      </c>
      <c r="M6" s="4">
        <v>34</v>
      </c>
      <c r="N6" s="4">
        <v>6</v>
      </c>
    </row>
    <row x14ac:dyDescent="0.25" r="7" customHeight="1" ht="18.75">
      <c r="A7" s="1"/>
      <c r="B7" s="1" t="s">
        <v>237</v>
      </c>
      <c r="C7" s="4">
        <v>11698</v>
      </c>
      <c r="D7" s="4">
        <v>7733</v>
      </c>
      <c r="E7" s="4">
        <v>8334</v>
      </c>
      <c r="F7" s="4">
        <v>9122</v>
      </c>
      <c r="G7" s="4">
        <v>9126</v>
      </c>
      <c r="H7" s="4">
        <v>9800</v>
      </c>
      <c r="I7" s="4">
        <v>5768</v>
      </c>
      <c r="J7" s="4">
        <v>6715</v>
      </c>
      <c r="K7" s="4">
        <v>7496</v>
      </c>
      <c r="L7" s="4">
        <v>7950</v>
      </c>
      <c r="M7" s="4">
        <v>8364</v>
      </c>
      <c r="N7" s="4">
        <v>8353</v>
      </c>
    </row>
    <row x14ac:dyDescent="0.25" r="8" customHeight="1" ht="18.75">
      <c r="A8" s="1" t="s">
        <v>238</v>
      </c>
      <c r="B8" s="1"/>
      <c r="C8" s="12">
        <v>0.0788</v>
      </c>
      <c r="D8" s="12">
        <v>0.0552</v>
      </c>
      <c r="E8" s="12">
        <v>0.0615</v>
      </c>
      <c r="F8" s="12">
        <v>0.0687</v>
      </c>
      <c r="G8" s="12">
        <v>0.0712</v>
      </c>
      <c r="H8" s="12">
        <v>0.0775</v>
      </c>
      <c r="I8" s="12">
        <v>0.0482</v>
      </c>
      <c r="J8" s="12">
        <v>0.0688</v>
      </c>
      <c r="K8" s="12">
        <v>0.1539</v>
      </c>
      <c r="L8" s="12">
        <v>0.1795</v>
      </c>
      <c r="M8" s="12">
        <v>0.1833</v>
      </c>
      <c r="N8" s="12">
        <v>0.1907</v>
      </c>
    </row>
    <row x14ac:dyDescent="0.25" r="9" customHeight="1" ht="18.75">
      <c r="A9" s="1"/>
      <c r="B9" s="4"/>
      <c r="C9" s="4"/>
      <c r="D9" s="4"/>
      <c r="E9" s="4"/>
      <c r="F9" s="4"/>
      <c r="G9" s="12"/>
      <c r="H9" s="29"/>
      <c r="I9" s="29"/>
      <c r="J9" s="29"/>
      <c r="K9" s="29"/>
      <c r="L9" s="29"/>
      <c r="M9" s="29"/>
      <c r="N9" s="29"/>
    </row>
    <row x14ac:dyDescent="0.25" r="10" customHeight="1" ht="18.75">
      <c r="A10" s="1"/>
      <c r="B10" s="4"/>
      <c r="C10" s="4"/>
      <c r="D10" s="4"/>
      <c r="E10" s="4"/>
      <c r="F10" s="4"/>
      <c r="G10" s="12"/>
      <c r="H10" s="29"/>
      <c r="I10" s="29"/>
      <c r="J10" s="29"/>
      <c r="K10" s="29"/>
      <c r="L10" s="29"/>
      <c r="M10" s="29"/>
      <c r="N10" s="29"/>
    </row>
    <row x14ac:dyDescent="0.25" r="11" customHeight="1" ht="18.75">
      <c r="A11" s="1"/>
      <c r="B11" s="4"/>
      <c r="C11" s="4"/>
      <c r="D11" s="4"/>
      <c r="E11" s="4"/>
      <c r="F11" s="4"/>
      <c r="G11" s="12"/>
      <c r="H11" s="29"/>
      <c r="I11" s="29"/>
      <c r="J11" s="29"/>
      <c r="K11" s="29"/>
      <c r="L11" s="29"/>
      <c r="M11" s="29"/>
      <c r="N11" s="29"/>
    </row>
    <row x14ac:dyDescent="0.25" r="12" customHeight="1" ht="18.75">
      <c r="A12" s="1"/>
      <c r="B12" s="4"/>
      <c r="C12" s="4"/>
      <c r="D12" s="4"/>
      <c r="E12" s="4"/>
      <c r="F12" s="4"/>
      <c r="G12" s="12"/>
      <c r="H12" s="29"/>
      <c r="I12" s="29"/>
      <c r="J12" s="29"/>
      <c r="K12" s="29"/>
      <c r="L12" s="29"/>
      <c r="M12" s="29"/>
      <c r="N12" s="29"/>
    </row>
    <row x14ac:dyDescent="0.25" r="13" customHeight="1" ht="18.75">
      <c r="A13" s="1"/>
      <c r="B13" s="4"/>
      <c r="C13" s="4"/>
      <c r="D13" s="4"/>
      <c r="E13" s="4"/>
      <c r="F13" s="4"/>
      <c r="G13" s="12"/>
      <c r="H13" s="29"/>
      <c r="I13" s="29"/>
      <c r="J13" s="29"/>
      <c r="K13" s="29"/>
      <c r="L13" s="29"/>
      <c r="M13" s="29"/>
      <c r="N13" s="29"/>
    </row>
    <row x14ac:dyDescent="0.25" r="14" customHeight="1" ht="18.75">
      <c r="A14" s="1"/>
      <c r="B14" s="4"/>
      <c r="C14" s="4"/>
      <c r="D14" s="4"/>
      <c r="E14" s="4"/>
      <c r="F14" s="4"/>
      <c r="G14" s="12"/>
      <c r="H14" s="29"/>
      <c r="I14" s="29"/>
      <c r="J14" s="29"/>
      <c r="K14" s="29"/>
      <c r="L14" s="29"/>
      <c r="M14" s="29"/>
      <c r="N14" s="29"/>
    </row>
    <row x14ac:dyDescent="0.25" r="15" customHeight="1" ht="18.75">
      <c r="A15" s="1"/>
      <c r="B15" s="4"/>
      <c r="C15" s="4"/>
      <c r="D15" s="4"/>
      <c r="E15" s="4"/>
      <c r="F15" s="4"/>
      <c r="G15" s="12"/>
      <c r="H15" s="29"/>
      <c r="I15" s="29"/>
      <c r="J15" s="29"/>
      <c r="K15" s="29"/>
      <c r="L15" s="29"/>
      <c r="M15" s="29"/>
      <c r="N15" s="29"/>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7"/>
  <sheetViews>
    <sheetView workbookViewId="0"/>
  </sheetViews>
  <sheetFormatPr defaultRowHeight="15" x14ac:dyDescent="0.25"/>
  <cols>
    <col min="1" max="1" style="6" width="13.576428571428572" customWidth="1" bestFit="1"/>
    <col min="2" max="2" style="15" width="13.576428571428572" customWidth="1" bestFit="1"/>
    <col min="3" max="3" style="23" width="13.576428571428572" customWidth="1" bestFit="1"/>
    <col min="4" max="4" style="23" width="13.576428571428572" customWidth="1" bestFit="1"/>
    <col min="5" max="5" style="23" width="13.576428571428572" customWidth="1" bestFit="1"/>
    <col min="6" max="6" style="23" width="13.576428571428572" customWidth="1" bestFit="1"/>
    <col min="7" max="7" style="23" width="13.576428571428572" customWidth="1" bestFit="1"/>
    <col min="8" max="8" style="23" width="13.576428571428572" customWidth="1" bestFit="1"/>
    <col min="9" max="9" style="23" width="13.576428571428572" customWidth="1" bestFit="1"/>
  </cols>
  <sheetData>
    <row x14ac:dyDescent="0.25" r="1" customHeight="1" ht="18.75">
      <c r="A1" s="1" t="s">
        <v>12</v>
      </c>
      <c r="B1" s="10" t="s">
        <v>219</v>
      </c>
      <c r="C1" s="20"/>
      <c r="D1" s="20"/>
      <c r="E1" s="20"/>
      <c r="F1" s="20"/>
      <c r="G1" s="20"/>
      <c r="H1" s="20"/>
      <c r="I1" s="20"/>
    </row>
    <row x14ac:dyDescent="0.25" r="2" customHeight="1" ht="18.75">
      <c r="A2" s="1" t="s">
        <v>0</v>
      </c>
      <c r="B2" s="10" t="s">
        <v>220</v>
      </c>
      <c r="C2" s="20" t="s">
        <v>221</v>
      </c>
      <c r="D2" s="20" t="s">
        <v>222</v>
      </c>
      <c r="E2" s="20" t="s">
        <v>223</v>
      </c>
      <c r="F2" s="20" t="s">
        <v>224</v>
      </c>
      <c r="G2" s="20" t="s">
        <v>225</v>
      </c>
      <c r="H2" s="20" t="s">
        <v>226</v>
      </c>
      <c r="I2" s="20" t="s">
        <v>227</v>
      </c>
    </row>
    <row x14ac:dyDescent="0.25" r="3" customHeight="1" ht="18.75">
      <c r="A3" s="1" t="s">
        <v>228</v>
      </c>
      <c r="B3" s="14">
        <v>0.3</v>
      </c>
      <c r="C3" s="4">
        <v>3</v>
      </c>
      <c r="D3" s="4">
        <v>20</v>
      </c>
      <c r="E3" s="4">
        <v>50</v>
      </c>
      <c r="F3" s="4">
        <v>65</v>
      </c>
      <c r="G3" s="4">
        <v>85</v>
      </c>
      <c r="H3" s="4">
        <v>100</v>
      </c>
      <c r="I3" s="4">
        <v>100</v>
      </c>
    </row>
    <row x14ac:dyDescent="0.25" r="4" customHeight="1" ht="18.75">
      <c r="A4" s="1" t="s">
        <v>229</v>
      </c>
      <c r="B4" s="4">
        <v>60</v>
      </c>
      <c r="C4" s="4">
        <v>60</v>
      </c>
      <c r="D4" s="4">
        <v>60</v>
      </c>
      <c r="E4" s="4">
        <v>60</v>
      </c>
      <c r="F4" s="4">
        <v>60</v>
      </c>
      <c r="G4" s="4">
        <v>60</v>
      </c>
      <c r="H4" s="4">
        <v>60</v>
      </c>
      <c r="I4" s="4">
        <v>60</v>
      </c>
    </row>
    <row x14ac:dyDescent="0.25" r="5" customHeight="1" ht="18.75">
      <c r="A5" s="1" t="s">
        <v>230</v>
      </c>
      <c r="B5" s="4">
        <v>55</v>
      </c>
      <c r="C5" s="4">
        <v>55</v>
      </c>
      <c r="D5" s="4">
        <v>55</v>
      </c>
      <c r="E5" s="4">
        <v>55</v>
      </c>
      <c r="F5" s="4">
        <v>55</v>
      </c>
      <c r="G5" s="4">
        <v>55</v>
      </c>
      <c r="H5" s="4">
        <v>55</v>
      </c>
      <c r="I5" s="4">
        <v>55</v>
      </c>
    </row>
    <row x14ac:dyDescent="0.25" r="6" customHeight="1" ht="18.75">
      <c r="A6" s="1" t="s">
        <v>231</v>
      </c>
      <c r="B6" s="14">
        <v>0.3</v>
      </c>
      <c r="C6" s="4">
        <v>3</v>
      </c>
      <c r="D6" s="4">
        <v>10</v>
      </c>
      <c r="E6" s="4">
        <v>20</v>
      </c>
      <c r="F6" s="4">
        <v>20</v>
      </c>
      <c r="G6" s="4">
        <v>100</v>
      </c>
      <c r="H6" s="4">
        <v>100</v>
      </c>
      <c r="I6" s="4">
        <v>100</v>
      </c>
    </row>
    <row x14ac:dyDescent="0.25" r="7" customHeight="1" ht="18.75">
      <c r="A7" s="1" t="s">
        <v>232</v>
      </c>
      <c r="B7" s="10"/>
      <c r="C7" s="20"/>
      <c r="D7" s="20"/>
      <c r="E7" s="20"/>
      <c r="F7" s="20"/>
      <c r="G7" s="20"/>
      <c r="H7" s="20"/>
      <c r="I7" s="20"/>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9"/>
  <sheetViews>
    <sheetView workbookViewId="0"/>
  </sheetViews>
  <sheetFormatPr defaultRowHeight="15" x14ac:dyDescent="0.25"/>
  <cols>
    <col min="1" max="1" style="6" width="13.576428571428572" customWidth="1" bestFit="1"/>
    <col min="2" max="2" style="31" width="13.576428571428572" customWidth="1" bestFit="1"/>
    <col min="3" max="3" style="31" width="13.576428571428572" customWidth="1" bestFit="1"/>
    <col min="4" max="4" style="31" width="13.576428571428572" customWidth="1" bestFit="1"/>
    <col min="5" max="5" style="31" width="13.576428571428572" customWidth="1" bestFit="1"/>
    <col min="6" max="6" style="31" width="13.576428571428572" customWidth="1" bestFit="1"/>
    <col min="7" max="7" style="31" width="13.576428571428572" customWidth="1" bestFit="1"/>
    <col min="8" max="8" style="31" width="13.576428571428572" customWidth="1" bestFit="1"/>
    <col min="9" max="9" style="31" width="13.576428571428572" customWidth="1" bestFit="1"/>
    <col min="10" max="10" style="31" width="13.576428571428572" customWidth="1" bestFit="1"/>
    <col min="11" max="11" style="31" width="13.576428571428572" customWidth="1" bestFit="1"/>
    <col min="12" max="12" style="31" width="13.576428571428572" customWidth="1" bestFit="1"/>
    <col min="13" max="13" style="31" width="13.576428571428572" customWidth="1" bestFit="1"/>
  </cols>
  <sheetData>
    <row x14ac:dyDescent="0.25" r="1" customHeight="1" ht="18.75">
      <c r="A1" s="1" t="s">
        <v>12</v>
      </c>
      <c r="B1" s="29" t="s">
        <v>13</v>
      </c>
      <c r="C1" s="29"/>
      <c r="D1" s="29"/>
      <c r="E1" s="29"/>
      <c r="F1" s="29"/>
      <c r="G1" s="29"/>
      <c r="H1" s="29"/>
      <c r="I1" s="29"/>
      <c r="J1" s="29"/>
      <c r="K1" s="29"/>
      <c r="L1" s="29"/>
      <c r="M1" s="29"/>
    </row>
    <row x14ac:dyDescent="0.25" r="2" customHeight="1" ht="18.75">
      <c r="A2" s="1" t="s">
        <v>0</v>
      </c>
      <c r="B2" s="14">
        <v>23.06</v>
      </c>
      <c r="C2" s="14">
        <v>23.07</v>
      </c>
      <c r="D2" s="14">
        <v>23.08</v>
      </c>
      <c r="E2" s="14">
        <v>23.09</v>
      </c>
      <c r="F2" s="14">
        <v>23.1</v>
      </c>
      <c r="G2" s="14">
        <v>23.11</v>
      </c>
      <c r="H2" s="14">
        <v>23.12</v>
      </c>
      <c r="I2" s="14">
        <v>24.01</v>
      </c>
      <c r="J2" s="14">
        <v>24.02</v>
      </c>
      <c r="K2" s="14">
        <v>24.03</v>
      </c>
      <c r="L2" s="14">
        <v>24.04</v>
      </c>
      <c r="M2" s="14">
        <v>24.05</v>
      </c>
    </row>
    <row x14ac:dyDescent="0.25" r="3" customHeight="1" ht="18.75">
      <c r="A3" s="1" t="s">
        <v>212</v>
      </c>
      <c r="B3" s="4">
        <v>148454</v>
      </c>
      <c r="C3" s="4">
        <v>140088</v>
      </c>
      <c r="D3" s="4">
        <v>135525</v>
      </c>
      <c r="E3" s="4">
        <v>132827</v>
      </c>
      <c r="F3" s="4">
        <v>128109</v>
      </c>
      <c r="G3" s="4">
        <v>126387</v>
      </c>
      <c r="H3" s="4">
        <v>119583</v>
      </c>
      <c r="I3" s="4">
        <v>97581</v>
      </c>
      <c r="J3" s="4">
        <v>48693</v>
      </c>
      <c r="K3" s="4">
        <v>44294</v>
      </c>
      <c r="L3" s="4">
        <v>45625</v>
      </c>
      <c r="M3" s="4">
        <v>43809</v>
      </c>
    </row>
    <row x14ac:dyDescent="0.25" r="4" customHeight="1" ht="18.75">
      <c r="A4" s="1" t="s">
        <v>213</v>
      </c>
      <c r="B4" s="4">
        <v>18665</v>
      </c>
      <c r="C4" s="4">
        <v>14454</v>
      </c>
      <c r="D4" s="4">
        <v>15188</v>
      </c>
      <c r="E4" s="4">
        <v>16450</v>
      </c>
      <c r="F4" s="4">
        <v>16933</v>
      </c>
      <c r="G4" s="4">
        <v>18270</v>
      </c>
      <c r="H4" s="4">
        <v>12957</v>
      </c>
      <c r="I4" s="4">
        <v>14525</v>
      </c>
      <c r="J4" s="4">
        <v>14850</v>
      </c>
      <c r="K4" s="4">
        <v>13523</v>
      </c>
      <c r="L4" s="4">
        <v>13548</v>
      </c>
      <c r="M4" s="4">
        <v>12936</v>
      </c>
    </row>
    <row x14ac:dyDescent="0.25" r="5" customHeight="1" ht="18.75">
      <c r="A5" s="1" t="s">
        <v>214</v>
      </c>
      <c r="B5" s="4">
        <v>11698</v>
      </c>
      <c r="C5" s="4">
        <v>7733</v>
      </c>
      <c r="D5" s="4">
        <v>8334</v>
      </c>
      <c r="E5" s="4">
        <v>9122</v>
      </c>
      <c r="F5" s="4">
        <v>9126</v>
      </c>
      <c r="G5" s="4">
        <v>9800</v>
      </c>
      <c r="H5" s="4">
        <v>5768</v>
      </c>
      <c r="I5" s="4">
        <v>6715</v>
      </c>
      <c r="J5" s="4">
        <v>7496</v>
      </c>
      <c r="K5" s="4">
        <v>7950</v>
      </c>
      <c r="L5" s="4">
        <v>8364</v>
      </c>
      <c r="M5" s="4">
        <v>8353</v>
      </c>
    </row>
    <row x14ac:dyDescent="0.25" r="6" customHeight="1" ht="18.75">
      <c r="A6" s="1" t="s">
        <v>215</v>
      </c>
      <c r="B6" s="12">
        <v>0.1257</v>
      </c>
      <c r="C6" s="12">
        <v>0.1032</v>
      </c>
      <c r="D6" s="12">
        <v>0.1121</v>
      </c>
      <c r="E6" s="12">
        <v>0.1238</v>
      </c>
      <c r="F6" s="12">
        <v>0.1322</v>
      </c>
      <c r="G6" s="12">
        <v>0.1446</v>
      </c>
      <c r="H6" s="12">
        <v>0.1083</v>
      </c>
      <c r="I6" s="12">
        <v>0.1489</v>
      </c>
      <c r="J6" s="12">
        <v>0.305</v>
      </c>
      <c r="K6" s="30" t="s">
        <v>216</v>
      </c>
      <c r="L6" s="12">
        <v>0.297</v>
      </c>
      <c r="M6" s="12">
        <v>0.2953</v>
      </c>
    </row>
    <row x14ac:dyDescent="0.25" r="7" customHeight="1" ht="18.75">
      <c r="A7" s="1" t="s">
        <v>217</v>
      </c>
      <c r="B7" s="12">
        <v>0.0788</v>
      </c>
      <c r="C7" s="12">
        <v>0.0552</v>
      </c>
      <c r="D7" s="12">
        <v>0.0615</v>
      </c>
      <c r="E7" s="12">
        <v>0.0687</v>
      </c>
      <c r="F7" s="12">
        <v>0.0712</v>
      </c>
      <c r="G7" s="12">
        <v>0.0775</v>
      </c>
      <c r="H7" s="12">
        <v>0.0482</v>
      </c>
      <c r="I7" s="12">
        <v>0.0688</v>
      </c>
      <c r="J7" s="12">
        <v>0.1539</v>
      </c>
      <c r="K7" s="12">
        <v>0.1795</v>
      </c>
      <c r="L7" s="12">
        <v>0.1833</v>
      </c>
      <c r="M7" s="12">
        <v>0.1907</v>
      </c>
    </row>
    <row x14ac:dyDescent="0.25" r="8" customHeight="1" ht="18.75">
      <c r="A8" s="1" t="s">
        <v>218</v>
      </c>
      <c r="B8" s="12">
        <v>0.7466</v>
      </c>
      <c r="C8" s="12">
        <v>0.7666</v>
      </c>
      <c r="D8" s="12">
        <v>0.7171</v>
      </c>
      <c r="E8" s="12">
        <v>0.724</v>
      </c>
      <c r="F8" s="12">
        <v>0.7336</v>
      </c>
      <c r="G8" s="12">
        <v>0.6887</v>
      </c>
      <c r="H8" s="12">
        <v>0.5885</v>
      </c>
      <c r="I8" s="12">
        <v>0.671</v>
      </c>
      <c r="J8" s="12">
        <v>0.5991</v>
      </c>
      <c r="K8" s="12">
        <v>0.6143</v>
      </c>
      <c r="L8" s="12">
        <v>0.6555</v>
      </c>
      <c r="M8" s="12">
        <v>0.7021</v>
      </c>
    </row>
    <row x14ac:dyDescent="0.25" r="9" customHeight="1" ht="18.75">
      <c r="A9" s="1"/>
      <c r="B9" s="12"/>
      <c r="C9" s="12"/>
      <c r="D9" s="12"/>
      <c r="E9" s="12"/>
      <c r="F9" s="12"/>
      <c r="G9" s="12"/>
      <c r="H9" s="12"/>
      <c r="I9" s="12"/>
      <c r="J9" s="12"/>
      <c r="K9" s="12"/>
      <c r="L9" s="12"/>
      <c r="M9" s="12"/>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5"/>
  <sheetViews>
    <sheetView workbookViewId="0"/>
  </sheetViews>
  <sheetFormatPr defaultRowHeight="15" x14ac:dyDescent="0.25"/>
  <cols>
    <col min="1" max="1" style="6" width="13.576428571428572" customWidth="1" bestFit="1"/>
    <col min="2" max="2" style="6" width="13.576428571428572" customWidth="1" bestFit="1"/>
    <col min="3" max="3" style="6" width="13.576428571428572" customWidth="1" bestFit="1"/>
    <col min="4" max="4" style="23" width="13.576428571428572" customWidth="1" bestFit="1"/>
  </cols>
  <sheetData>
    <row x14ac:dyDescent="0.25" r="1" customHeight="1" ht="18.75">
      <c r="A1" s="1" t="s">
        <v>193</v>
      </c>
      <c r="B1" s="1" t="s">
        <v>194</v>
      </c>
      <c r="C1" s="1" t="s">
        <v>195</v>
      </c>
      <c r="D1" s="20" t="s">
        <v>196</v>
      </c>
    </row>
    <row x14ac:dyDescent="0.25" r="2" customHeight="1" ht="18.75">
      <c r="A2" s="1" t="s">
        <v>197</v>
      </c>
      <c r="B2" s="1" t="s">
        <v>198</v>
      </c>
      <c r="C2" s="1" t="s">
        <v>199</v>
      </c>
      <c r="D2" s="20" t="s">
        <v>200</v>
      </c>
    </row>
    <row x14ac:dyDescent="0.25" r="3" customHeight="1" ht="18.75">
      <c r="A3" s="1" t="s">
        <v>201</v>
      </c>
      <c r="B3" s="1" t="s">
        <v>202</v>
      </c>
      <c r="C3" s="1" t="s">
        <v>203</v>
      </c>
      <c r="D3" s="4">
        <v>41234</v>
      </c>
    </row>
    <row x14ac:dyDescent="0.25" r="4" customHeight="1" ht="18.75">
      <c r="A4" s="1" t="s">
        <v>204</v>
      </c>
      <c r="B4" s="1" t="s">
        <v>205</v>
      </c>
      <c r="C4" s="1" t="s">
        <v>206</v>
      </c>
      <c r="D4" s="20" t="s">
        <v>207</v>
      </c>
    </row>
    <row x14ac:dyDescent="0.25" r="5" customHeight="1" ht="18.75">
      <c r="A5" s="1" t="s">
        <v>208</v>
      </c>
      <c r="B5" s="1" t="s">
        <v>209</v>
      </c>
      <c r="C5" s="1" t="s">
        <v>210</v>
      </c>
      <c r="D5" s="20" t="s">
        <v>211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8"/>
  <sheetViews>
    <sheetView workbookViewId="0"/>
  </sheetViews>
  <sheetFormatPr defaultRowHeight="15" x14ac:dyDescent="0.25"/>
  <cols>
    <col min="1" max="1" style="6" width="13.576428571428572" customWidth="1" bestFit="1"/>
    <col min="2" max="2" style="7" width="13.576428571428572" customWidth="1" bestFit="1"/>
    <col min="3" max="3" style="7" width="13.576428571428572" customWidth="1" bestFit="1"/>
    <col min="4" max="4" style="7" width="13.576428571428572" customWidth="1" bestFit="1"/>
    <col min="5" max="5" style="6" width="13.576428571428572" customWidth="1" bestFit="1"/>
  </cols>
  <sheetData>
    <row x14ac:dyDescent="0.25" r="1" customHeight="1" ht="18.75">
      <c r="A1" s="1" t="s">
        <v>180</v>
      </c>
      <c r="B1" s="9" t="s">
        <v>181</v>
      </c>
      <c r="C1" s="9" t="s">
        <v>182</v>
      </c>
      <c r="D1" s="9" t="s">
        <v>183</v>
      </c>
      <c r="E1" s="1" t="s">
        <v>184</v>
      </c>
    </row>
    <row x14ac:dyDescent="0.25" r="2" customHeight="1" ht="18.75">
      <c r="A2" s="1" t="s">
        <v>185</v>
      </c>
      <c r="B2" s="4">
        <v>60000</v>
      </c>
      <c r="C2" s="4">
        <v>300000000</v>
      </c>
      <c r="D2" s="14">
        <f>B2/B8</f>
      </c>
      <c r="E2" s="1" t="s">
        <v>186</v>
      </c>
    </row>
    <row x14ac:dyDescent="0.25" r="3" customHeight="1" ht="18.75">
      <c r="A3" s="1" t="s">
        <v>187</v>
      </c>
      <c r="B3" s="4">
        <v>60000</v>
      </c>
      <c r="C3" s="4">
        <v>300000000</v>
      </c>
      <c r="D3" s="14">
        <f>B3/B8</f>
      </c>
      <c r="E3" s="1" t="s">
        <v>186</v>
      </c>
    </row>
    <row x14ac:dyDescent="0.25" r="4" customHeight="1" ht="18.75">
      <c r="A4" s="1" t="s">
        <v>188</v>
      </c>
      <c r="B4" s="4">
        <v>50000</v>
      </c>
      <c r="C4" s="4">
        <v>250000000</v>
      </c>
      <c r="D4" s="14">
        <f>B4/B8</f>
      </c>
      <c r="E4" s="1" t="s">
        <v>74</v>
      </c>
    </row>
    <row x14ac:dyDescent="0.25" r="5" customHeight="1" ht="18.75">
      <c r="A5" s="1" t="s">
        <v>189</v>
      </c>
      <c r="B5" s="4">
        <v>18000</v>
      </c>
      <c r="C5" s="4">
        <v>90000000</v>
      </c>
      <c r="D5" s="14">
        <f>B5/B8</f>
      </c>
      <c r="E5" s="1" t="s">
        <v>190</v>
      </c>
    </row>
    <row x14ac:dyDescent="0.25" r="6" customHeight="1" ht="18.75">
      <c r="A6" s="1" t="s">
        <v>191</v>
      </c>
      <c r="B6" s="4">
        <v>10000</v>
      </c>
      <c r="C6" s="4">
        <v>50000000</v>
      </c>
      <c r="D6" s="14">
        <f>B6/B8</f>
      </c>
      <c r="E6" s="1" t="s">
        <v>190</v>
      </c>
    </row>
    <row x14ac:dyDescent="0.25" r="7" customHeight="1" ht="18.75">
      <c r="A7" s="1" t="s">
        <v>192</v>
      </c>
      <c r="B7" s="4">
        <v>2000</v>
      </c>
      <c r="C7" s="4">
        <v>10000000</v>
      </c>
      <c r="D7" s="14">
        <f>B7/B8</f>
      </c>
      <c r="E7" s="1" t="s">
        <v>74</v>
      </c>
    </row>
    <row x14ac:dyDescent="0.25" r="8" customHeight="1" ht="18.75">
      <c r="A8" s="1" t="s">
        <v>9</v>
      </c>
      <c r="B8" s="4">
        <f>SUM(B2:B7)</f>
      </c>
      <c r="C8" s="4">
        <f>SUM(C2:C7)</f>
      </c>
      <c r="D8" s="4">
        <f>SUM(D2:D7)</f>
      </c>
      <c r="E8" s="1"/>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5"/>
  <sheetViews>
    <sheetView workbookViewId="0"/>
  </sheetViews>
  <sheetFormatPr defaultRowHeight="15" x14ac:dyDescent="0.25"/>
  <cols>
    <col min="1" max="1" style="6" width="13.576428571428572" customWidth="1" bestFit="1"/>
    <col min="2" max="2" style="23" width="13.576428571428572" customWidth="1" bestFit="1"/>
    <col min="3" max="3" style="23" width="13.576428571428572" customWidth="1" bestFit="1"/>
    <col min="4" max="4" style="23" width="13.576428571428572" customWidth="1" bestFit="1"/>
    <col min="5" max="5" style="23" width="13.576428571428572" customWidth="1" bestFit="1"/>
  </cols>
  <sheetData>
    <row x14ac:dyDescent="0.25" r="1" customHeight="1" ht="18.75">
      <c r="A1" s="1" t="s">
        <v>154</v>
      </c>
      <c r="B1" s="14">
        <v>2021.12</v>
      </c>
      <c r="C1" s="14">
        <v>2022.12</v>
      </c>
      <c r="D1" s="14">
        <v>2023.12</v>
      </c>
      <c r="E1" s="14">
        <v>2024.06</v>
      </c>
    </row>
    <row x14ac:dyDescent="0.25" r="2" customHeight="1" ht="18.75">
      <c r="A2" s="1" t="s">
        <v>99</v>
      </c>
      <c r="B2" s="4">
        <v>165531</v>
      </c>
      <c r="C2" s="4">
        <v>141542</v>
      </c>
      <c r="D2" s="4">
        <v>140696</v>
      </c>
      <c r="E2" s="4">
        <v>145523</v>
      </c>
    </row>
    <row x14ac:dyDescent="0.25" r="3" customHeight="1" ht="18.75">
      <c r="A3" s="1" t="s">
        <v>171</v>
      </c>
      <c r="B3" s="4">
        <v>10193</v>
      </c>
      <c r="C3" s="4">
        <v>3453</v>
      </c>
      <c r="D3" s="4">
        <v>5823</v>
      </c>
      <c r="E3" s="4">
        <v>6284</v>
      </c>
    </row>
    <row x14ac:dyDescent="0.25" r="4" customHeight="1" ht="18.75">
      <c r="A4" s="1" t="s">
        <v>172</v>
      </c>
      <c r="B4" s="4">
        <v>142941</v>
      </c>
      <c r="C4" s="4">
        <v>123508</v>
      </c>
      <c r="D4" s="4">
        <v>118807</v>
      </c>
      <c r="E4" s="4">
        <v>124985</v>
      </c>
    </row>
    <row x14ac:dyDescent="0.25" r="5" customHeight="1" ht="18.75">
      <c r="A5" s="1" t="s">
        <v>173</v>
      </c>
      <c r="B5" s="4">
        <v>151348</v>
      </c>
      <c r="C5" s="4">
        <v>131670</v>
      </c>
      <c r="D5" s="4">
        <v>124576</v>
      </c>
      <c r="E5" s="4">
        <v>135187</v>
      </c>
    </row>
    <row x14ac:dyDescent="0.25" r="6" customHeight="1" ht="18.75">
      <c r="A6" s="1" t="s">
        <v>174</v>
      </c>
      <c r="B6" s="4">
        <v>-8407</v>
      </c>
      <c r="C6" s="4">
        <v>-8161</v>
      </c>
      <c r="D6" s="4">
        <v>-5769</v>
      </c>
      <c r="E6" s="4">
        <v>-10202</v>
      </c>
    </row>
    <row x14ac:dyDescent="0.25" r="7" customHeight="1" ht="18.75">
      <c r="A7" s="1" t="s">
        <v>175</v>
      </c>
      <c r="B7" s="4">
        <v>12397</v>
      </c>
      <c r="C7" s="4">
        <v>14581</v>
      </c>
      <c r="D7" s="4">
        <v>16066</v>
      </c>
      <c r="E7" s="4">
        <v>14255</v>
      </c>
    </row>
    <row x14ac:dyDescent="0.25" r="8" customHeight="1" ht="18.75">
      <c r="A8" s="1" t="s">
        <v>102</v>
      </c>
      <c r="B8" s="4">
        <v>130980</v>
      </c>
      <c r="C8" s="4">
        <v>100804</v>
      </c>
      <c r="D8" s="4">
        <v>100234</v>
      </c>
      <c r="E8" s="4">
        <v>107719</v>
      </c>
    </row>
    <row x14ac:dyDescent="0.25" r="9" customHeight="1" ht="18.75">
      <c r="A9" s="1" t="s">
        <v>176</v>
      </c>
      <c r="B9" s="4">
        <v>127392</v>
      </c>
      <c r="C9" s="4">
        <v>96459</v>
      </c>
      <c r="D9" s="4">
        <v>97087</v>
      </c>
      <c r="E9" s="4">
        <v>104805</v>
      </c>
    </row>
    <row x14ac:dyDescent="0.25" r="10" customHeight="1" ht="18.75">
      <c r="A10" s="1" t="s">
        <v>177</v>
      </c>
      <c r="B10" s="4">
        <v>3588</v>
      </c>
      <c r="C10" s="4">
        <v>4345</v>
      </c>
      <c r="D10" s="4">
        <v>3147</v>
      </c>
      <c r="E10" s="4">
        <v>2913</v>
      </c>
    </row>
    <row x14ac:dyDescent="0.25" r="11" customHeight="1" ht="18.75">
      <c r="A11" s="1" t="s">
        <v>100</v>
      </c>
      <c r="B11" s="4">
        <v>34552</v>
      </c>
      <c r="C11" s="4">
        <v>40738</v>
      </c>
      <c r="D11" s="4">
        <v>40462</v>
      </c>
      <c r="E11" s="4">
        <v>37805</v>
      </c>
    </row>
    <row x14ac:dyDescent="0.25" r="12" customHeight="1" ht="18.75">
      <c r="A12" s="1" t="s">
        <v>178</v>
      </c>
      <c r="B12" s="4">
        <v>1000</v>
      </c>
      <c r="C12" s="4">
        <v>1000</v>
      </c>
      <c r="D12" s="4">
        <v>1000</v>
      </c>
      <c r="E12" s="4">
        <v>1000</v>
      </c>
    </row>
    <row x14ac:dyDescent="0.25" r="13" customHeight="1" ht="18.75">
      <c r="A13" s="1" t="s">
        <v>179</v>
      </c>
      <c r="B13" s="4">
        <v>33522</v>
      </c>
      <c r="C13" s="4">
        <v>39738</v>
      </c>
      <c r="D13" s="4">
        <v>39462</v>
      </c>
      <c r="E13" s="4">
        <v>36805</v>
      </c>
    </row>
    <row x14ac:dyDescent="0.25" r="14" customHeight="1" ht="18.75">
      <c r="A14" s="1"/>
      <c r="B14" s="4"/>
      <c r="C14" s="4"/>
      <c r="D14" s="4"/>
      <c r="E14" s="4"/>
    </row>
    <row x14ac:dyDescent="0.25" r="15" customHeight="1" ht="18.75">
      <c r="A15" s="1"/>
      <c r="B15" s="4"/>
      <c r="C15" s="4"/>
      <c r="D15" s="4"/>
      <c r="E15" s="4"/>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7"/>
  <sheetViews>
    <sheetView workbookViewId="0"/>
  </sheetViews>
  <sheetFormatPr defaultRowHeight="15" x14ac:dyDescent="0.25"/>
  <cols>
    <col min="1" max="1" style="6" width="13.576428571428572" customWidth="1" bestFit="1"/>
    <col min="2" max="2" style="23" width="13.576428571428572" customWidth="1" bestFit="1"/>
    <col min="3" max="3" style="23" width="13.576428571428572" customWidth="1" bestFit="1"/>
    <col min="4" max="4" style="23" width="13.576428571428572" customWidth="1" bestFit="1"/>
    <col min="5" max="5" style="23" width="13.576428571428572" customWidth="1" bestFit="1"/>
  </cols>
  <sheetData>
    <row x14ac:dyDescent="0.25" r="1" customHeight="1" ht="20.25">
      <c r="A1" s="1" t="s">
        <v>154</v>
      </c>
      <c r="B1" s="14">
        <v>2021.12</v>
      </c>
      <c r="C1" s="14">
        <v>2022.12</v>
      </c>
      <c r="D1" s="14">
        <v>2023.12</v>
      </c>
      <c r="E1" s="14">
        <v>2024.06</v>
      </c>
    </row>
    <row x14ac:dyDescent="0.25" r="2" customHeight="1" ht="20.25">
      <c r="A2" s="1" t="s">
        <v>155</v>
      </c>
      <c r="B2" s="4">
        <v>32837</v>
      </c>
      <c r="C2" s="4">
        <v>31793</v>
      </c>
      <c r="D2" s="4">
        <v>24709</v>
      </c>
      <c r="E2" s="4">
        <v>10841</v>
      </c>
    </row>
    <row x14ac:dyDescent="0.25" r="3" customHeight="1" ht="20.25">
      <c r="A3" s="1" t="s">
        <v>156</v>
      </c>
      <c r="B3" s="4">
        <v>29743</v>
      </c>
      <c r="C3" s="4">
        <v>29324</v>
      </c>
      <c r="D3" s="4">
        <v>22704</v>
      </c>
      <c r="E3" s="4">
        <v>10841</v>
      </c>
    </row>
    <row x14ac:dyDescent="0.25" r="4" customHeight="1" ht="20.25">
      <c r="A4" s="1" t="s">
        <v>157</v>
      </c>
      <c r="B4" s="4">
        <v>1565</v>
      </c>
      <c r="C4" s="4">
        <v>1756</v>
      </c>
      <c r="D4" s="4">
        <v>1965</v>
      </c>
      <c r="E4" s="2" t="s">
        <v>74</v>
      </c>
    </row>
    <row x14ac:dyDescent="0.25" r="5" customHeight="1" ht="20.25">
      <c r="A5" s="1" t="s">
        <v>158</v>
      </c>
      <c r="B5" s="4">
        <v>1529</v>
      </c>
      <c r="C5" s="4">
        <v>713</v>
      </c>
      <c r="D5" s="4">
        <v>41</v>
      </c>
      <c r="E5" s="2" t="s">
        <v>74</v>
      </c>
    </row>
    <row x14ac:dyDescent="0.25" r="6" customHeight="1" ht="20.25">
      <c r="A6" s="1" t="s">
        <v>159</v>
      </c>
      <c r="B6" s="4">
        <v>21727</v>
      </c>
      <c r="C6" s="4">
        <v>24214</v>
      </c>
      <c r="D6" s="4">
        <v>23515</v>
      </c>
      <c r="E6" s="4">
        <v>12500</v>
      </c>
    </row>
    <row x14ac:dyDescent="0.25" r="7" customHeight="1" ht="20.25">
      <c r="A7" s="1" t="s">
        <v>160</v>
      </c>
      <c r="B7" s="4">
        <v>7153</v>
      </c>
      <c r="C7" s="4">
        <v>7321</v>
      </c>
      <c r="D7" s="4">
        <v>7221</v>
      </c>
      <c r="E7" s="4">
        <v>3666</v>
      </c>
    </row>
    <row x14ac:dyDescent="0.25" r="8" customHeight="1" ht="20.25">
      <c r="A8" s="1" t="s">
        <v>161</v>
      </c>
      <c r="B8" s="4">
        <v>5294</v>
      </c>
      <c r="C8" s="4">
        <v>7391</v>
      </c>
      <c r="D8" s="4">
        <v>8951</v>
      </c>
      <c r="E8" s="4">
        <v>4515</v>
      </c>
    </row>
    <row x14ac:dyDescent="0.25" r="9" customHeight="1" ht="20.25">
      <c r="A9" s="1" t="s">
        <v>162</v>
      </c>
      <c r="B9" s="4">
        <v>3163</v>
      </c>
      <c r="C9" s="4">
        <v>1895</v>
      </c>
      <c r="D9" s="4">
        <v>1007</v>
      </c>
      <c r="E9" s="4">
        <v>1023</v>
      </c>
    </row>
    <row x14ac:dyDescent="0.25" r="10" customHeight="1" ht="20.25">
      <c r="A10" s="1" t="s">
        <v>163</v>
      </c>
      <c r="B10" s="4">
        <v>6116</v>
      </c>
      <c r="C10" s="4">
        <v>7573</v>
      </c>
      <c r="D10" s="4">
        <v>6304</v>
      </c>
      <c r="E10" s="4">
        <v>3297</v>
      </c>
    </row>
    <row x14ac:dyDescent="0.25" r="11" customHeight="1" ht="20.25">
      <c r="A11" s="1" t="s">
        <v>164</v>
      </c>
      <c r="B11" s="2" t="s">
        <v>74</v>
      </c>
      <c r="C11" s="4">
        <v>26</v>
      </c>
      <c r="D11" s="4">
        <v>23</v>
      </c>
      <c r="E11" s="2" t="s">
        <v>74</v>
      </c>
    </row>
    <row x14ac:dyDescent="0.25" r="12" customHeight="1" ht="20.25">
      <c r="A12" s="1" t="s">
        <v>165</v>
      </c>
      <c r="B12" s="2" t="s">
        <v>74</v>
      </c>
      <c r="C12" s="4">
        <v>7</v>
      </c>
      <c r="D12" s="4">
        <v>8</v>
      </c>
      <c r="E12" s="2" t="s">
        <v>74</v>
      </c>
    </row>
    <row x14ac:dyDescent="0.25" r="13" customHeight="1" ht="20.25">
      <c r="A13" s="1" t="s">
        <v>166</v>
      </c>
      <c r="B13" s="4">
        <v>11111</v>
      </c>
      <c r="C13" s="4">
        <v>7579</v>
      </c>
      <c r="D13" s="4">
        <v>1194</v>
      </c>
      <c r="E13" s="4">
        <v>-1659</v>
      </c>
    </row>
    <row x14ac:dyDescent="0.25" r="14" customHeight="1" ht="20.25">
      <c r="A14" s="1" t="s">
        <v>167</v>
      </c>
      <c r="B14" s="4">
        <v>-4</v>
      </c>
      <c r="C14" s="4">
        <v>1588</v>
      </c>
      <c r="D14" s="4">
        <v>14</v>
      </c>
      <c r="E14" s="4">
        <v>2</v>
      </c>
    </row>
    <row x14ac:dyDescent="0.25" r="15" customHeight="1" ht="20.25">
      <c r="A15" s="1" t="s">
        <v>168</v>
      </c>
      <c r="B15" s="4">
        <v>11106</v>
      </c>
      <c r="C15" s="4">
        <v>9167</v>
      </c>
      <c r="D15" s="4">
        <v>1208</v>
      </c>
      <c r="E15" s="4">
        <v>-1657</v>
      </c>
    </row>
    <row x14ac:dyDescent="0.25" r="16" customHeight="1" ht="20.25">
      <c r="A16" s="1" t="s">
        <v>169</v>
      </c>
      <c r="B16" s="4">
        <v>8680</v>
      </c>
      <c r="C16" s="4">
        <v>7186</v>
      </c>
      <c r="D16" s="4">
        <v>724</v>
      </c>
      <c r="E16" s="4">
        <v>-1657</v>
      </c>
    </row>
    <row x14ac:dyDescent="0.25" r="17" customHeight="1" ht="20.25">
      <c r="A17" s="1" t="s">
        <v>170</v>
      </c>
      <c r="B17" s="20"/>
      <c r="C17" s="20"/>
      <c r="D17" s="20"/>
      <c r="E17" s="20"/>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7"/>
  <sheetViews>
    <sheetView workbookViewId="0"/>
  </sheetViews>
  <sheetFormatPr defaultRowHeight="15" x14ac:dyDescent="0.25"/>
  <cols>
    <col min="1" max="1" style="6" width="13.576428571428572" customWidth="1" bestFit="1"/>
    <col min="2" max="2" style="28" width="13.576428571428572" customWidth="1" bestFit="1"/>
    <col min="3" max="3" style="28" width="13.576428571428572" customWidth="1" bestFit="1"/>
    <col min="4" max="4" style="28" width="13.576428571428572" customWidth="1" bestFit="1"/>
    <col min="5" max="5" style="6" width="13.576428571428572" customWidth="1" bestFit="1"/>
  </cols>
  <sheetData>
    <row x14ac:dyDescent="0.25" r="1" customHeight="1" ht="18.75">
      <c r="A1" s="1" t="s">
        <v>0</v>
      </c>
      <c r="B1" s="24" t="s">
        <v>123</v>
      </c>
      <c r="C1" s="24" t="s">
        <v>124</v>
      </c>
      <c r="D1" s="14">
        <v>2023.12</v>
      </c>
      <c r="E1" s="1" t="s">
        <v>116</v>
      </c>
    </row>
    <row x14ac:dyDescent="0.25" r="2" customHeight="1" ht="18.75">
      <c r="A2" s="1" t="s">
        <v>125</v>
      </c>
      <c r="B2" s="25">
        <v>0.2169</v>
      </c>
      <c r="C2" s="26">
        <v>-0.1449</v>
      </c>
      <c r="D2" s="26">
        <v>-0.006</v>
      </c>
      <c r="E2" s="1" t="s">
        <v>126</v>
      </c>
    </row>
    <row x14ac:dyDescent="0.25" r="3" customHeight="1" ht="18.75">
      <c r="A3" s="1" t="s">
        <v>127</v>
      </c>
      <c r="B3" s="25">
        <v>0.186</v>
      </c>
      <c r="C3" s="26">
        <v>-0.136</v>
      </c>
      <c r="D3" s="26">
        <v>-0.0381</v>
      </c>
      <c r="E3" s="1" t="s">
        <v>128</v>
      </c>
    </row>
    <row x14ac:dyDescent="0.25" r="4" customHeight="1" ht="18.75">
      <c r="A4" s="1" t="s">
        <v>129</v>
      </c>
      <c r="B4" s="26">
        <v>0.2087</v>
      </c>
      <c r="C4" s="26">
        <v>0.2878</v>
      </c>
      <c r="D4" s="26">
        <v>0.2876</v>
      </c>
      <c r="E4" s="1" t="s">
        <v>130</v>
      </c>
    </row>
    <row x14ac:dyDescent="0.25" r="5" customHeight="1" ht="18.75">
      <c r="A5" s="1" t="s">
        <v>131</v>
      </c>
      <c r="B5" s="26">
        <v>0.0671</v>
      </c>
      <c r="C5" s="26">
        <v>0.0648</v>
      </c>
      <c r="D5" s="26">
        <v>0.0086</v>
      </c>
      <c r="E5" s="1" t="s">
        <v>132</v>
      </c>
    </row>
    <row x14ac:dyDescent="0.25" r="6" customHeight="1" ht="18.75">
      <c r="A6" s="1" t="s">
        <v>133</v>
      </c>
      <c r="B6" s="26">
        <v>0.0524</v>
      </c>
      <c r="C6" s="26">
        <v>0.0508</v>
      </c>
      <c r="D6" s="26">
        <v>0.0051</v>
      </c>
      <c r="E6" s="1" t="s">
        <v>134</v>
      </c>
    </row>
    <row x14ac:dyDescent="0.25" r="7" customHeight="1" ht="18.75">
      <c r="A7" s="1" t="s">
        <v>135</v>
      </c>
      <c r="B7" s="26">
        <v>0.2512</v>
      </c>
      <c r="C7" s="26">
        <v>0.1764</v>
      </c>
      <c r="D7" s="26">
        <v>0.0179</v>
      </c>
      <c r="E7" s="1" t="s">
        <v>136</v>
      </c>
    </row>
    <row x14ac:dyDescent="0.25" r="8" customHeight="1" ht="18.75">
      <c r="A8" s="1" t="s">
        <v>137</v>
      </c>
      <c r="B8" s="26">
        <v>0.3384</v>
      </c>
      <c r="C8" s="26">
        <v>0.2384</v>
      </c>
      <c r="D8" s="26">
        <v>0.0483</v>
      </c>
      <c r="E8" s="1" t="s">
        <v>138</v>
      </c>
    </row>
    <row x14ac:dyDescent="0.25" r="9" customHeight="1" ht="18.75">
      <c r="A9" s="1" t="s">
        <v>139</v>
      </c>
      <c r="B9" s="26">
        <v>0.2643</v>
      </c>
      <c r="C9" s="26">
        <v>0.226</v>
      </c>
      <c r="D9" s="26">
        <v>0.0293</v>
      </c>
      <c r="E9" s="1" t="s">
        <v>140</v>
      </c>
    </row>
    <row x14ac:dyDescent="0.25" r="10" customHeight="1" ht="18.75">
      <c r="A10" s="1" t="s">
        <v>141</v>
      </c>
      <c r="B10" s="27">
        <v>140644</v>
      </c>
      <c r="C10" s="4">
        <v>141509</v>
      </c>
      <c r="D10" s="4">
        <v>128123</v>
      </c>
      <c r="E10" s="1" t="s">
        <v>142</v>
      </c>
    </row>
    <row x14ac:dyDescent="0.25" r="11" customHeight="1" ht="18.75">
      <c r="A11" s="1" t="s">
        <v>143</v>
      </c>
      <c r="B11" s="25">
        <v>0.2115</v>
      </c>
      <c r="C11" s="25">
        <v>0.2072</v>
      </c>
      <c r="D11" s="25">
        <v>0.1772</v>
      </c>
      <c r="E11" s="1" t="s">
        <v>144</v>
      </c>
    </row>
    <row x14ac:dyDescent="0.25" r="12" customHeight="1" ht="18.75">
      <c r="A12" s="1" t="s">
        <v>145</v>
      </c>
      <c r="B12" s="12">
        <v>0.051</v>
      </c>
      <c r="C12" s="12">
        <v>0.052</v>
      </c>
      <c r="D12" s="12">
        <v>0.056</v>
      </c>
      <c r="E12" s="1" t="s">
        <v>146</v>
      </c>
    </row>
    <row x14ac:dyDescent="0.25" r="13" customHeight="1" ht="18.75">
      <c r="A13" s="1" t="s">
        <v>147</v>
      </c>
      <c r="B13" s="12">
        <v>0.038</v>
      </c>
      <c r="C13" s="12">
        <v>0.052</v>
      </c>
      <c r="D13" s="12">
        <v>0.07</v>
      </c>
      <c r="E13" s="1" t="s">
        <v>148</v>
      </c>
    </row>
    <row x14ac:dyDescent="0.25" r="14" customHeight="1" ht="18.75">
      <c r="A14" s="1" t="s">
        <v>149</v>
      </c>
      <c r="B14" s="25">
        <v>0.0225</v>
      </c>
      <c r="C14" s="25">
        <v>0.0134</v>
      </c>
      <c r="D14" s="25">
        <v>0.0079</v>
      </c>
      <c r="E14" s="1" t="s">
        <v>150</v>
      </c>
    </row>
    <row x14ac:dyDescent="0.25" r="15" customHeight="1" ht="18.75">
      <c r="A15" s="1" t="s">
        <v>151</v>
      </c>
      <c r="B15" s="25">
        <v>0.0435</v>
      </c>
      <c r="C15" s="25">
        <v>0.0535</v>
      </c>
      <c r="D15" s="25">
        <v>0.0492</v>
      </c>
      <c r="E15" s="1" t="s">
        <v>152</v>
      </c>
    </row>
    <row x14ac:dyDescent="0.25" r="16" customHeight="1" ht="18.75">
      <c r="A16" s="1" t="s">
        <v>153</v>
      </c>
      <c r="B16" s="26">
        <v>0.0555</v>
      </c>
      <c r="C16" s="26">
        <v>0.035</v>
      </c>
      <c r="D16" s="26">
        <v>-0.0072</v>
      </c>
      <c r="E16" s="1"/>
    </row>
    <row x14ac:dyDescent="0.25" r="17" customHeight="1" ht="18.75">
      <c r="A17" s="1"/>
      <c r="B17" s="26"/>
      <c r="C17" s="26"/>
      <c r="D17" s="26"/>
      <c r="E17" s="1"/>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2"/>
  <sheetViews>
    <sheetView workbookViewId="0"/>
  </sheetViews>
  <sheetFormatPr defaultRowHeight="15" x14ac:dyDescent="0.25"/>
  <cols>
    <col min="1" max="1" style="6" width="13.576428571428572" customWidth="1" bestFit="1"/>
    <col min="2" max="2" style="6" width="13.576428571428572" customWidth="1" bestFit="1"/>
    <col min="3" max="3" style="6" width="13.576428571428572" customWidth="1" bestFit="1"/>
    <col min="4" max="4" style="6" width="13.576428571428572" customWidth="1" bestFit="1"/>
    <col min="5" max="5" style="6" width="13.576428571428572" customWidth="1" bestFit="1"/>
    <col min="6" max="6" style="6" width="13.576428571428572" customWidth="1" bestFit="1"/>
  </cols>
  <sheetData>
    <row x14ac:dyDescent="0.25" r="1" customHeight="1" ht="18.75">
      <c r="A1" s="1" t="s">
        <v>111</v>
      </c>
      <c r="B1" s="1" t="s">
        <v>112</v>
      </c>
      <c r="C1" s="1" t="s">
        <v>113</v>
      </c>
      <c r="D1" s="1" t="s">
        <v>114</v>
      </c>
      <c r="E1" s="1" t="s">
        <v>115</v>
      </c>
      <c r="F1" s="1" t="s">
        <v>116</v>
      </c>
    </row>
    <row x14ac:dyDescent="0.25" r="2" customHeight="1" ht="18.75">
      <c r="A2" s="1" t="s">
        <v>117</v>
      </c>
      <c r="B2" s="1" t="s">
        <v>118</v>
      </c>
      <c r="C2" s="1" t="s">
        <v>119</v>
      </c>
      <c r="D2" s="1" t="s">
        <v>120</v>
      </c>
      <c r="E2" s="1" t="s">
        <v>121</v>
      </c>
      <c r="F2" s="1" t="s">
        <v>122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1"/>
  <sheetViews>
    <sheetView workbookViewId="0"/>
  </sheetViews>
  <sheetFormatPr defaultRowHeight="15" x14ac:dyDescent="0.25"/>
  <cols>
    <col min="1" max="1" style="6" width="13.576428571428572" customWidth="1" bestFit="1"/>
    <col min="2" max="2" style="7" width="13.576428571428572" customWidth="1" bestFit="1"/>
    <col min="3" max="3" style="7" width="13.576428571428572" customWidth="1" bestFit="1"/>
    <col min="4" max="4" style="7" width="13.576428571428572" customWidth="1" bestFit="1"/>
    <col min="5" max="5" style="7" width="13.576428571428572" customWidth="1" bestFit="1"/>
    <col min="6" max="6" style="7" width="13.576428571428572" customWidth="1" bestFit="1"/>
    <col min="7" max="7" style="7" width="13.576428571428572" customWidth="1" bestFit="1"/>
    <col min="8" max="8" style="7" width="13.576428571428572" customWidth="1" bestFit="1"/>
    <col min="9" max="9" style="7" width="13.576428571428572" customWidth="1" bestFit="1"/>
    <col min="10" max="10" style="7" width="13.576428571428572" customWidth="1" bestFit="1"/>
    <col min="11" max="11" style="7" width="13.576428571428572" customWidth="1" bestFit="1"/>
    <col min="12" max="12" style="7" width="13.576428571428572" customWidth="1" bestFit="1"/>
    <col min="13" max="13" style="7" width="13.576428571428572" customWidth="1" bestFit="1"/>
  </cols>
  <sheetData>
    <row x14ac:dyDescent="0.25" r="1" customHeight="1" ht="18.75">
      <c r="A1" s="1" t="s">
        <v>0</v>
      </c>
      <c r="B1" s="14">
        <v>23.07</v>
      </c>
      <c r="C1" s="14">
        <v>23.08</v>
      </c>
      <c r="D1" s="14">
        <v>23.09</v>
      </c>
      <c r="E1" s="14">
        <v>23.1</v>
      </c>
      <c r="F1" s="14">
        <v>23.11</v>
      </c>
      <c r="G1" s="14">
        <v>23.12</v>
      </c>
      <c r="H1" s="14">
        <v>24.01</v>
      </c>
      <c r="I1" s="14">
        <v>24.02</v>
      </c>
      <c r="J1" s="14">
        <v>24.03</v>
      </c>
      <c r="K1" s="14">
        <v>24.04</v>
      </c>
      <c r="L1" s="14">
        <v>24.05</v>
      </c>
      <c r="M1" s="14">
        <v>24.06</v>
      </c>
    </row>
    <row x14ac:dyDescent="0.25" r="2" customHeight="1" ht="18.75">
      <c r="A2" s="1" t="s">
        <v>99</v>
      </c>
      <c r="B2" s="4">
        <v>136928</v>
      </c>
      <c r="C2" s="4">
        <v>143492</v>
      </c>
      <c r="D2" s="4">
        <v>141774</v>
      </c>
      <c r="E2" s="4">
        <v>135959</v>
      </c>
      <c r="F2" s="4">
        <v>140352</v>
      </c>
      <c r="G2" s="4">
        <v>140696</v>
      </c>
      <c r="H2" s="4">
        <v>137450</v>
      </c>
      <c r="I2" s="4">
        <v>137030</v>
      </c>
      <c r="J2" s="4">
        <v>143548</v>
      </c>
      <c r="K2" s="4">
        <v>143494</v>
      </c>
      <c r="L2" s="4">
        <v>150213</v>
      </c>
      <c r="M2" s="4">
        <v>145523</v>
      </c>
    </row>
    <row x14ac:dyDescent="0.25" r="3" customHeight="1" ht="18.75">
      <c r="A3" s="1" t="s">
        <v>102</v>
      </c>
      <c r="B3" s="4">
        <v>97203</v>
      </c>
      <c r="C3" s="9" t="s">
        <v>103</v>
      </c>
      <c r="D3" s="4">
        <v>101902</v>
      </c>
      <c r="E3" s="4">
        <v>95674</v>
      </c>
      <c r="F3" s="4">
        <v>100041</v>
      </c>
      <c r="G3" s="4">
        <v>100234</v>
      </c>
      <c r="H3" s="4">
        <v>97225</v>
      </c>
      <c r="I3" s="4">
        <v>97695</v>
      </c>
      <c r="J3" s="4">
        <v>105405</v>
      </c>
      <c r="K3" s="4">
        <v>105507</v>
      </c>
      <c r="L3" s="4">
        <v>112293</v>
      </c>
      <c r="M3" s="4">
        <v>107719</v>
      </c>
    </row>
    <row x14ac:dyDescent="0.25" r="4" customHeight="1" ht="18.75">
      <c r="A4" s="1" t="s">
        <v>100</v>
      </c>
      <c r="B4" s="4">
        <v>39726</v>
      </c>
      <c r="C4" s="4">
        <v>39550</v>
      </c>
      <c r="D4" s="4">
        <v>39872</v>
      </c>
      <c r="E4" s="4">
        <v>40285</v>
      </c>
      <c r="F4" s="4">
        <v>40311</v>
      </c>
      <c r="G4" s="4">
        <v>40462</v>
      </c>
      <c r="H4" s="4">
        <v>40225</v>
      </c>
      <c r="I4" s="4">
        <v>39335</v>
      </c>
      <c r="J4" s="4">
        <v>38142</v>
      </c>
      <c r="K4" s="4">
        <v>37987</v>
      </c>
      <c r="L4" s="4">
        <v>37920</v>
      </c>
      <c r="M4" s="4">
        <v>37805</v>
      </c>
    </row>
    <row x14ac:dyDescent="0.25" r="5" customHeight="1" ht="18.75">
      <c r="A5" s="1" t="s">
        <v>104</v>
      </c>
      <c r="B5" s="4">
        <v>1000</v>
      </c>
      <c r="C5" s="4">
        <v>1000</v>
      </c>
      <c r="D5" s="4">
        <v>1000</v>
      </c>
      <c r="E5" s="4">
        <v>1000</v>
      </c>
      <c r="F5" s="4">
        <v>1000</v>
      </c>
      <c r="G5" s="4">
        <v>1000</v>
      </c>
      <c r="H5" s="4">
        <v>1000</v>
      </c>
      <c r="I5" s="4">
        <v>1000</v>
      </c>
      <c r="J5" s="4">
        <v>1000</v>
      </c>
      <c r="K5" s="4">
        <v>1000</v>
      </c>
      <c r="L5" s="4">
        <v>1000</v>
      </c>
      <c r="M5" s="4">
        <v>1000</v>
      </c>
    </row>
    <row x14ac:dyDescent="0.25" r="6" customHeight="1" ht="18.75">
      <c r="A6" s="1" t="s">
        <v>105</v>
      </c>
      <c r="B6" s="4">
        <v>-12</v>
      </c>
      <c r="C6" s="4">
        <v>-188</v>
      </c>
      <c r="D6" s="4">
        <v>134</v>
      </c>
      <c r="E6" s="4">
        <v>547</v>
      </c>
      <c r="F6" s="4">
        <v>573</v>
      </c>
      <c r="G6" s="4">
        <v>724</v>
      </c>
      <c r="H6" s="4">
        <v>-236</v>
      </c>
      <c r="I6" s="4">
        <v>-1127</v>
      </c>
      <c r="J6" s="4">
        <v>-1320</v>
      </c>
      <c r="K6" s="4">
        <v>-1475</v>
      </c>
      <c r="L6" s="4">
        <v>-1542</v>
      </c>
      <c r="M6" s="4">
        <v>-1657</v>
      </c>
    </row>
    <row x14ac:dyDescent="0.25" r="7" customHeight="1" ht="18.75">
      <c r="A7" s="1" t="s">
        <v>106</v>
      </c>
      <c r="B7" s="4">
        <v>629</v>
      </c>
      <c r="C7" s="4">
        <v>776</v>
      </c>
      <c r="D7" s="4">
        <v>505</v>
      </c>
      <c r="E7" s="4">
        <v>458</v>
      </c>
      <c r="F7" s="4">
        <v>729</v>
      </c>
      <c r="G7" s="4">
        <v>743</v>
      </c>
      <c r="H7" s="4">
        <v>985</v>
      </c>
      <c r="I7" s="4">
        <v>977</v>
      </c>
      <c r="J7" s="4">
        <v>1113</v>
      </c>
      <c r="K7" s="4">
        <v>1198</v>
      </c>
      <c r="L7" s="4">
        <v>1132</v>
      </c>
      <c r="M7" s="4">
        <v>1015</v>
      </c>
    </row>
    <row x14ac:dyDescent="0.25" r="8" customHeight="1" ht="18.75">
      <c r="A8" s="1" t="s">
        <v>107</v>
      </c>
      <c r="B8" s="4">
        <v>3821</v>
      </c>
      <c r="C8" s="4">
        <v>7373</v>
      </c>
      <c r="D8" s="4">
        <v>3499</v>
      </c>
      <c r="E8" s="4">
        <v>5399</v>
      </c>
      <c r="F8" s="4">
        <v>7786</v>
      </c>
      <c r="G8" s="4">
        <v>5035</v>
      </c>
      <c r="H8" s="4">
        <v>6697</v>
      </c>
      <c r="I8" s="4">
        <v>9449</v>
      </c>
      <c r="J8" s="4">
        <v>8714</v>
      </c>
      <c r="K8" s="4">
        <v>8566</v>
      </c>
      <c r="L8" s="4">
        <v>8482</v>
      </c>
      <c r="M8" s="4">
        <v>7127</v>
      </c>
    </row>
    <row x14ac:dyDescent="0.25" r="9" customHeight="1" ht="18.75">
      <c r="A9" s="1" t="s">
        <v>108</v>
      </c>
      <c r="B9" s="4">
        <v>16771</v>
      </c>
      <c r="C9" s="4">
        <v>16401</v>
      </c>
      <c r="D9" s="4">
        <v>16448</v>
      </c>
      <c r="E9" s="4">
        <v>15738</v>
      </c>
      <c r="F9" s="4">
        <v>15956</v>
      </c>
      <c r="G9" s="4">
        <v>15690</v>
      </c>
      <c r="H9" s="4">
        <v>16088</v>
      </c>
      <c r="I9" s="4">
        <v>16458</v>
      </c>
      <c r="J9" s="4">
        <v>16890</v>
      </c>
      <c r="K9" s="4">
        <v>17319</v>
      </c>
      <c r="L9" s="4">
        <v>17607</v>
      </c>
      <c r="M9" s="4">
        <v>17822</v>
      </c>
    </row>
    <row x14ac:dyDescent="0.25" r="10" customHeight="1" ht="18.75">
      <c r="A10" s="1" t="s">
        <v>109</v>
      </c>
      <c r="B10" s="4">
        <v>129353</v>
      </c>
      <c r="C10" s="4">
        <v>128158</v>
      </c>
      <c r="D10" s="4">
        <v>127926</v>
      </c>
      <c r="E10" s="4">
        <v>123713</v>
      </c>
      <c r="F10" s="4">
        <v>127120</v>
      </c>
      <c r="G10" s="4">
        <v>124576</v>
      </c>
      <c r="H10" s="4">
        <v>125016</v>
      </c>
      <c r="I10" s="4">
        <v>125956</v>
      </c>
      <c r="J10" s="4">
        <v>129812</v>
      </c>
      <c r="K10" s="4">
        <v>131778</v>
      </c>
      <c r="L10" s="4">
        <v>134156</v>
      </c>
      <c r="M10" s="4">
        <v>135187</v>
      </c>
    </row>
    <row x14ac:dyDescent="0.25" r="11" customHeight="1" ht="18.75">
      <c r="A11" s="1" t="s">
        <v>110</v>
      </c>
      <c r="B11" s="4">
        <v>94252</v>
      </c>
      <c r="C11" s="4">
        <v>101134</v>
      </c>
      <c r="D11" s="4">
        <v>99106</v>
      </c>
      <c r="E11" s="4">
        <v>92879</v>
      </c>
      <c r="F11" s="4">
        <v>97243</v>
      </c>
      <c r="G11" s="4">
        <v>97087</v>
      </c>
      <c r="H11" s="4">
        <v>94082</v>
      </c>
      <c r="I11" s="4">
        <v>94808</v>
      </c>
      <c r="J11" s="4">
        <v>101483</v>
      </c>
      <c r="K11" s="4">
        <v>101709</v>
      </c>
      <c r="L11" s="4">
        <v>109378</v>
      </c>
      <c r="M11" s="4">
        <v>104805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4"/>
  <sheetViews>
    <sheetView workbookViewId="0"/>
  </sheetViews>
  <sheetFormatPr defaultRowHeight="15" x14ac:dyDescent="0.25"/>
  <cols>
    <col min="1" max="1" style="6" width="13.576428571428572" customWidth="1" bestFit="1"/>
    <col min="2" max="2" style="22" width="13.576428571428572" customWidth="1" bestFit="1"/>
    <col min="3" max="3" style="22" width="13.576428571428572" customWidth="1" bestFit="1"/>
    <col min="4" max="4" style="22" width="13.576428571428572" customWidth="1" bestFit="1"/>
    <col min="5" max="5" style="22" width="13.576428571428572" customWidth="1" bestFit="1"/>
    <col min="6" max="6" style="22" width="13.576428571428572" customWidth="1" bestFit="1"/>
    <col min="7" max="7" style="22" width="13.576428571428572" customWidth="1" bestFit="1"/>
    <col min="8" max="8" style="22" width="13.576428571428572" customWidth="1" bestFit="1"/>
    <col min="9" max="9" style="22" width="13.576428571428572" customWidth="1" bestFit="1"/>
    <col min="10" max="10" style="22" width="13.576428571428572" customWidth="1" bestFit="1"/>
    <col min="11" max="11" style="22" width="13.576428571428572" customWidth="1" bestFit="1"/>
    <col min="12" max="12" style="22" width="13.576428571428572" customWidth="1" bestFit="1"/>
    <col min="13" max="13" style="22" width="13.576428571428572" customWidth="1" bestFit="1"/>
  </cols>
  <sheetData>
    <row x14ac:dyDescent="0.25" r="1" customHeight="1" ht="18.75">
      <c r="A1" s="1" t="s">
        <v>0</v>
      </c>
      <c r="B1" s="14">
        <v>23.07</v>
      </c>
      <c r="C1" s="14">
        <v>23.08</v>
      </c>
      <c r="D1" s="14">
        <v>23.09</v>
      </c>
      <c r="E1" s="14">
        <v>23.1</v>
      </c>
      <c r="F1" s="14">
        <v>23.11</v>
      </c>
      <c r="G1" s="14">
        <v>23.12</v>
      </c>
      <c r="H1" s="14">
        <v>24.01</v>
      </c>
      <c r="I1" s="14">
        <v>24.02</v>
      </c>
      <c r="J1" s="14">
        <v>24.03</v>
      </c>
      <c r="K1" s="14">
        <v>24.04</v>
      </c>
      <c r="L1" s="14">
        <v>24.05</v>
      </c>
      <c r="M1" s="14">
        <v>24.06</v>
      </c>
    </row>
    <row x14ac:dyDescent="0.25" r="2" customHeight="1" ht="18.75">
      <c r="A2" s="1" t="s">
        <v>99</v>
      </c>
      <c r="B2" s="4">
        <v>136928</v>
      </c>
      <c r="C2" s="4">
        <v>143492</v>
      </c>
      <c r="D2" s="4">
        <v>141774</v>
      </c>
      <c r="E2" s="4">
        <v>135959</v>
      </c>
      <c r="F2" s="4">
        <v>140352</v>
      </c>
      <c r="G2" s="4">
        <v>140696</v>
      </c>
      <c r="H2" s="4">
        <v>137450</v>
      </c>
      <c r="I2" s="4">
        <v>137030</v>
      </c>
      <c r="J2" s="4">
        <v>143548</v>
      </c>
      <c r="K2" s="4">
        <v>143494</v>
      </c>
      <c r="L2" s="4">
        <v>150213</v>
      </c>
      <c r="M2" s="4">
        <v>145523</v>
      </c>
    </row>
    <row x14ac:dyDescent="0.25" r="3" customHeight="1" ht="18.75">
      <c r="A3" s="1" t="s">
        <v>100</v>
      </c>
      <c r="B3" s="4">
        <v>39726</v>
      </c>
      <c r="C3" s="4">
        <v>39550</v>
      </c>
      <c r="D3" s="4">
        <v>39872</v>
      </c>
      <c r="E3" s="4">
        <v>40285</v>
      </c>
      <c r="F3" s="4">
        <v>40311</v>
      </c>
      <c r="G3" s="4">
        <v>40462</v>
      </c>
      <c r="H3" s="4">
        <v>40225</v>
      </c>
      <c r="I3" s="4">
        <v>39335</v>
      </c>
      <c r="J3" s="4">
        <v>38142</v>
      </c>
      <c r="K3" s="4">
        <v>37987</v>
      </c>
      <c r="L3" s="4">
        <v>37920</v>
      </c>
      <c r="M3" s="4">
        <v>37805</v>
      </c>
    </row>
    <row x14ac:dyDescent="0.25" r="4" customHeight="1" ht="18.75">
      <c r="A4" s="1" t="s">
        <v>101</v>
      </c>
      <c r="B4" s="14">
        <v>3.45</v>
      </c>
      <c r="C4" s="14">
        <v>3.63</v>
      </c>
      <c r="D4" s="14">
        <v>3.56</v>
      </c>
      <c r="E4" s="14">
        <v>3.37</v>
      </c>
      <c r="F4" s="14">
        <v>3.48</v>
      </c>
      <c r="G4" s="14">
        <v>3.48</v>
      </c>
      <c r="H4" s="14">
        <v>3.42</v>
      </c>
      <c r="I4" s="14">
        <v>3.48</v>
      </c>
      <c r="J4" s="14">
        <v>3.76</v>
      </c>
      <c r="K4" s="14">
        <v>3.78</v>
      </c>
      <c r="L4" s="14">
        <v>3.96</v>
      </c>
      <c r="M4" s="14">
        <v>3.85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9"/>
  <sheetViews>
    <sheetView workbookViewId="0"/>
  </sheetViews>
  <sheetFormatPr defaultRowHeight="15" x14ac:dyDescent="0.25"/>
  <cols>
    <col min="1" max="1" style="6" width="13.576428571428572" customWidth="1" bestFit="1"/>
    <col min="2" max="2" style="7" width="13.576428571428572" customWidth="1" bestFit="1"/>
    <col min="3" max="3" style="7" width="13.576428571428572" customWidth="1" bestFit="1"/>
    <col min="4" max="4" style="22" width="13.576428571428572" customWidth="1" bestFit="1"/>
    <col min="5" max="5" style="23" width="13.576428571428572" customWidth="1" bestFit="1"/>
    <col min="6" max="6" style="23" width="13.576428571428572" customWidth="1" bestFit="1"/>
    <col min="7" max="7" style="6" width="13.576428571428572" customWidth="1" bestFit="1"/>
    <col min="8" max="8" style="6" width="13.576428571428572" customWidth="1" bestFit="1"/>
  </cols>
  <sheetData>
    <row x14ac:dyDescent="0.25" r="1" customHeight="1" ht="18.75">
      <c r="A1" s="1" t="s">
        <v>14</v>
      </c>
      <c r="B1" s="9" t="s">
        <v>16</v>
      </c>
      <c r="C1" s="9" t="s">
        <v>1</v>
      </c>
      <c r="D1" s="19" t="s">
        <v>17</v>
      </c>
      <c r="E1" s="20" t="s">
        <v>18</v>
      </c>
      <c r="F1" s="20" t="s">
        <v>19</v>
      </c>
      <c r="G1" s="1" t="s">
        <v>20</v>
      </c>
      <c r="H1" s="1" t="s">
        <v>21</v>
      </c>
    </row>
    <row x14ac:dyDescent="0.25" r="2" customHeight="1" ht="18.75">
      <c r="A2" s="1" t="s">
        <v>83</v>
      </c>
      <c r="B2" s="4">
        <v>14125</v>
      </c>
      <c r="C2" s="4">
        <v>14090</v>
      </c>
      <c r="D2" s="5">
        <v>0.0486</v>
      </c>
      <c r="E2" s="4">
        <v>45422</v>
      </c>
      <c r="F2" s="4">
        <v>46141</v>
      </c>
      <c r="G2" s="1" t="s">
        <v>27</v>
      </c>
      <c r="H2" s="1" t="s">
        <v>84</v>
      </c>
    </row>
    <row x14ac:dyDescent="0.25" r="3" customHeight="1" ht="18.75">
      <c r="A3" s="1" t="s">
        <v>85</v>
      </c>
      <c r="B3" s="4">
        <v>500</v>
      </c>
      <c r="C3" s="4">
        <v>500</v>
      </c>
      <c r="D3" s="21" t="s">
        <v>86</v>
      </c>
      <c r="E3" s="4">
        <v>45189</v>
      </c>
      <c r="F3" s="4">
        <v>45555</v>
      </c>
      <c r="G3" s="1" t="s">
        <v>24</v>
      </c>
      <c r="H3" s="1" t="s">
        <v>25</v>
      </c>
    </row>
    <row x14ac:dyDescent="0.25" r="4" customHeight="1" ht="18.75">
      <c r="A4" s="1" t="s">
        <v>87</v>
      </c>
      <c r="B4" s="4">
        <v>3000</v>
      </c>
      <c r="C4" s="4">
        <v>2500</v>
      </c>
      <c r="D4" s="5">
        <v>0.0622</v>
      </c>
      <c r="E4" s="4">
        <v>45236</v>
      </c>
      <c r="F4" s="4">
        <v>46332</v>
      </c>
      <c r="G4" s="1" t="s">
        <v>27</v>
      </c>
      <c r="H4" s="1" t="s">
        <v>25</v>
      </c>
    </row>
    <row x14ac:dyDescent="0.25" r="5" customHeight="1" ht="18.75">
      <c r="A5" s="1" t="s">
        <v>88</v>
      </c>
      <c r="B5" s="4">
        <v>17625</v>
      </c>
      <c r="C5" s="4">
        <v>17090</v>
      </c>
      <c r="D5" s="5">
        <v>0.0513</v>
      </c>
      <c r="E5" s="20"/>
      <c r="F5" s="20"/>
      <c r="G5" s="1"/>
      <c r="H5" s="1"/>
    </row>
    <row x14ac:dyDescent="0.25" r="6" customHeight="1" ht="18.75">
      <c r="A6" s="1" t="s">
        <v>89</v>
      </c>
      <c r="B6" s="4">
        <v>5000</v>
      </c>
      <c r="C6" s="4">
        <v>833</v>
      </c>
      <c r="D6" s="5">
        <v>0.09</v>
      </c>
      <c r="E6" s="4">
        <v>44855</v>
      </c>
      <c r="F6" s="4">
        <v>45586</v>
      </c>
      <c r="G6" s="1" t="s">
        <v>27</v>
      </c>
      <c r="H6" s="1" t="s">
        <v>90</v>
      </c>
    </row>
    <row x14ac:dyDescent="0.25" r="7" customHeight="1" ht="18.75">
      <c r="A7" s="1" t="s">
        <v>91</v>
      </c>
      <c r="B7" s="4">
        <v>2500</v>
      </c>
      <c r="C7" s="4">
        <v>2209</v>
      </c>
      <c r="D7" s="5">
        <v>0.082</v>
      </c>
      <c r="E7" s="4">
        <v>45359</v>
      </c>
      <c r="F7" s="4">
        <v>46089</v>
      </c>
      <c r="G7" s="1" t="s">
        <v>35</v>
      </c>
      <c r="H7" s="1" t="s">
        <v>90</v>
      </c>
    </row>
    <row x14ac:dyDescent="0.25" r="8" customHeight="1" ht="18.75">
      <c r="A8" s="1" t="s">
        <v>92</v>
      </c>
      <c r="B8" s="4">
        <v>7500</v>
      </c>
      <c r="C8" s="4">
        <v>3042</v>
      </c>
      <c r="D8" s="5">
        <v>0.0842</v>
      </c>
      <c r="E8" s="20"/>
      <c r="F8" s="20"/>
      <c r="G8" s="1"/>
      <c r="H8" s="1"/>
    </row>
    <row x14ac:dyDescent="0.25" r="9" customHeight="1" ht="18.75">
      <c r="A9" s="1" t="s">
        <v>93</v>
      </c>
      <c r="B9" s="4">
        <v>1000</v>
      </c>
      <c r="C9" s="4">
        <v>111</v>
      </c>
      <c r="D9" s="5">
        <v>0.095</v>
      </c>
      <c r="E9" s="4">
        <v>44979</v>
      </c>
      <c r="F9" s="4">
        <v>45526</v>
      </c>
      <c r="G9" s="1" t="s">
        <v>27</v>
      </c>
      <c r="H9" s="1" t="s">
        <v>25</v>
      </c>
    </row>
    <row x14ac:dyDescent="0.25" r="10" customHeight="1" ht="18.75">
      <c r="A10" s="1"/>
      <c r="B10" s="4">
        <v>1000</v>
      </c>
      <c r="C10" s="4">
        <v>389</v>
      </c>
      <c r="D10" s="5">
        <v>0.085</v>
      </c>
      <c r="E10" s="4">
        <v>45119</v>
      </c>
      <c r="F10" s="4">
        <v>45669</v>
      </c>
      <c r="G10" s="1" t="s">
        <v>27</v>
      </c>
      <c r="H10" s="1" t="s">
        <v>25</v>
      </c>
    </row>
    <row x14ac:dyDescent="0.25" r="11" customHeight="1" ht="18.75">
      <c r="A11" s="1" t="s">
        <v>94</v>
      </c>
      <c r="B11" s="4">
        <v>2000</v>
      </c>
      <c r="C11" s="4">
        <v>2000</v>
      </c>
      <c r="D11" s="5">
        <v>0.078</v>
      </c>
      <c r="E11" s="4">
        <v>45470</v>
      </c>
      <c r="F11" s="4">
        <v>46080</v>
      </c>
      <c r="G11" s="1" t="s">
        <v>35</v>
      </c>
      <c r="H11" s="1" t="s">
        <v>33</v>
      </c>
    </row>
    <row x14ac:dyDescent="0.25" r="12" customHeight="1" ht="18.75">
      <c r="A12" s="1" t="s">
        <v>68</v>
      </c>
      <c r="B12" s="4">
        <v>4000</v>
      </c>
      <c r="C12" s="4">
        <v>2500</v>
      </c>
      <c r="D12" s="5">
        <v>0.0798</v>
      </c>
      <c r="E12" s="20" t="s">
        <v>74</v>
      </c>
      <c r="F12" s="20"/>
      <c r="G12" s="1" t="s">
        <v>74</v>
      </c>
      <c r="H12" s="1" t="s">
        <v>74</v>
      </c>
    </row>
    <row x14ac:dyDescent="0.25" r="13" customHeight="1" ht="18.75">
      <c r="A13" s="1" t="s">
        <v>95</v>
      </c>
      <c r="B13" s="4">
        <v>263</v>
      </c>
      <c r="C13" s="4">
        <v>173</v>
      </c>
      <c r="D13" s="5">
        <v>0.087</v>
      </c>
      <c r="E13" s="4">
        <v>45018</v>
      </c>
      <c r="F13" s="4">
        <v>45749</v>
      </c>
      <c r="G13" s="1" t="s">
        <v>24</v>
      </c>
      <c r="H13" s="1" t="s">
        <v>90</v>
      </c>
    </row>
    <row x14ac:dyDescent="0.25" r="14" customHeight="1" ht="18.75">
      <c r="A14" s="1"/>
      <c r="B14" s="4">
        <v>587</v>
      </c>
      <c r="C14" s="4">
        <v>449</v>
      </c>
      <c r="D14" s="5">
        <v>0.083</v>
      </c>
      <c r="E14" s="4">
        <v>44987</v>
      </c>
      <c r="F14" s="4">
        <v>45598</v>
      </c>
      <c r="G14" s="1" t="s">
        <v>24</v>
      </c>
      <c r="H14" s="1" t="s">
        <v>90</v>
      </c>
    </row>
    <row x14ac:dyDescent="0.25" r="15" customHeight="1" ht="18.75">
      <c r="A15" s="1"/>
      <c r="B15" s="4">
        <v>2000</v>
      </c>
      <c r="C15" s="4">
        <v>2000</v>
      </c>
      <c r="D15" s="5">
        <v>0.076</v>
      </c>
      <c r="E15" s="4">
        <v>45467</v>
      </c>
      <c r="F15" s="4">
        <v>46015</v>
      </c>
      <c r="G15" s="1" t="s">
        <v>35</v>
      </c>
      <c r="H15" s="1" t="s">
        <v>33</v>
      </c>
    </row>
    <row x14ac:dyDescent="0.25" r="16" customHeight="1" ht="18.75">
      <c r="A16" s="1" t="s">
        <v>40</v>
      </c>
      <c r="B16" s="4">
        <v>2850</v>
      </c>
      <c r="C16" s="4">
        <v>2622</v>
      </c>
      <c r="D16" s="5">
        <v>0.0776</v>
      </c>
      <c r="E16" s="20"/>
      <c r="F16" s="20"/>
      <c r="G16" s="1"/>
      <c r="H16" s="1"/>
    </row>
    <row x14ac:dyDescent="0.25" r="17" customHeight="1" ht="18.75">
      <c r="A17" s="1" t="s">
        <v>96</v>
      </c>
      <c r="B17" s="4">
        <v>18386</v>
      </c>
      <c r="C17" s="4">
        <v>18186</v>
      </c>
      <c r="D17" s="21" t="s">
        <v>97</v>
      </c>
      <c r="E17" s="20" t="s">
        <v>74</v>
      </c>
      <c r="F17" s="20" t="s">
        <v>74</v>
      </c>
      <c r="G17" s="1" t="s">
        <v>24</v>
      </c>
      <c r="H17" s="1" t="s">
        <v>25</v>
      </c>
    </row>
    <row x14ac:dyDescent="0.25" r="18" customHeight="1" ht="18.75">
      <c r="A18" s="1" t="s">
        <v>98</v>
      </c>
      <c r="B18" s="9"/>
      <c r="C18" s="9"/>
      <c r="D18" s="19"/>
      <c r="E18" s="20"/>
      <c r="F18" s="20"/>
      <c r="G18" s="1"/>
      <c r="H18" s="1"/>
    </row>
    <row x14ac:dyDescent="0.25" r="19" customHeight="1" ht="18.75">
      <c r="A19" s="1" t="s">
        <v>81</v>
      </c>
      <c r="B19" s="4">
        <v>50361</v>
      </c>
      <c r="C19" s="4">
        <v>43440</v>
      </c>
      <c r="D19" s="14">
        <v>0.0735</v>
      </c>
      <c r="E19" s="20"/>
      <c r="F19" s="20"/>
      <c r="G19" s="1"/>
      <c r="H19" s="1"/>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7"/>
  <sheetViews>
    <sheetView workbookViewId="0"/>
  </sheetViews>
  <sheetFormatPr defaultRowHeight="15" x14ac:dyDescent="0.25"/>
  <cols>
    <col min="1" max="1" style="6" width="13.576428571428572" customWidth="1" bestFit="1"/>
    <col min="2" max="2" style="7" width="13.576428571428572" customWidth="1" bestFit="1"/>
    <col min="3" max="3" style="18" width="13.576428571428572" customWidth="1" bestFit="1"/>
  </cols>
  <sheetData>
    <row x14ac:dyDescent="0.25" r="1" customHeight="1" ht="18.75">
      <c r="A1" s="1" t="s">
        <v>0</v>
      </c>
      <c r="B1" s="9" t="s">
        <v>1</v>
      </c>
      <c r="C1" s="17" t="s">
        <v>2</v>
      </c>
    </row>
    <row x14ac:dyDescent="0.25" r="2" customHeight="1" ht="18.75">
      <c r="A2" s="1" t="s">
        <v>3</v>
      </c>
      <c r="B2" s="4">
        <v>17090</v>
      </c>
      <c r="C2" s="12">
        <f>B2/B7</f>
      </c>
    </row>
    <row x14ac:dyDescent="0.25" r="3" customHeight="1" ht="18.75">
      <c r="A3" s="1" t="s">
        <v>6</v>
      </c>
      <c r="B3" s="4">
        <v>2622</v>
      </c>
      <c r="C3" s="12">
        <f>B3/B7</f>
      </c>
    </row>
    <row x14ac:dyDescent="0.25" r="4" customHeight="1" ht="18.75">
      <c r="A4" s="1" t="s">
        <v>5</v>
      </c>
      <c r="B4" s="4">
        <v>2500</v>
      </c>
      <c r="C4" s="12">
        <f>B4/B7</f>
      </c>
    </row>
    <row x14ac:dyDescent="0.25" r="5" customHeight="1" ht="18.75">
      <c r="A5" s="1" t="s">
        <v>82</v>
      </c>
      <c r="B5" s="4">
        <v>3042</v>
      </c>
      <c r="C5" s="12">
        <f>B5/B7</f>
      </c>
    </row>
    <row x14ac:dyDescent="0.25" r="6" customHeight="1" ht="18.75">
      <c r="A6" s="1" t="s">
        <v>8</v>
      </c>
      <c r="B6" s="4">
        <v>18186</v>
      </c>
      <c r="C6" s="12">
        <f>B6/B7</f>
      </c>
    </row>
    <row x14ac:dyDescent="0.25" r="7" customHeight="1" ht="18.75">
      <c r="A7" s="1" t="s">
        <v>9</v>
      </c>
      <c r="B7" s="4">
        <f>SUM(B2:B6)</f>
      </c>
      <c r="C7" s="12">
        <f>B7/B7</f>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68"/>
  <sheetViews>
    <sheetView workbookViewId="0"/>
  </sheetViews>
  <sheetFormatPr defaultRowHeight="15" x14ac:dyDescent="0.25"/>
  <cols>
    <col min="1" max="1" style="6" width="13.576428571428572" customWidth="1" bestFit="1"/>
    <col min="2" max="2" style="6" width="13.576428571428572" customWidth="1" bestFit="1"/>
    <col min="3" max="3" style="7" width="13.576428571428572" customWidth="1" bestFit="1"/>
    <col min="4" max="4" style="7" width="13.576428571428572" customWidth="1" bestFit="1"/>
    <col min="5" max="5" style="15" width="13.576428571428572" customWidth="1" bestFit="1"/>
    <col min="6" max="6" style="16" width="13.576428571428572" customWidth="1" bestFit="1"/>
    <col min="7" max="7" style="16" width="13.576428571428572" customWidth="1" bestFit="1"/>
    <col min="8" max="8" style="6" width="13.576428571428572" customWidth="1" bestFit="1"/>
    <col min="9" max="9" style="6" width="13.576428571428572" customWidth="1" bestFit="1"/>
  </cols>
  <sheetData>
    <row x14ac:dyDescent="0.25" r="1" customHeight="1" ht="18.75">
      <c r="A1" s="1" t="s">
        <v>10</v>
      </c>
      <c r="B1" s="1" t="s">
        <v>11</v>
      </c>
      <c r="C1" s="9"/>
      <c r="D1" s="9"/>
      <c r="E1" s="10"/>
      <c r="F1" s="11"/>
      <c r="G1" s="11"/>
      <c r="H1" s="1"/>
      <c r="I1" s="1"/>
    </row>
    <row x14ac:dyDescent="0.25" r="2" customHeight="1" ht="18.75">
      <c r="A2" s="1" t="s">
        <v>12</v>
      </c>
      <c r="B2" s="1" t="s">
        <v>13</v>
      </c>
      <c r="C2" s="9"/>
      <c r="D2" s="9"/>
      <c r="E2" s="10"/>
      <c r="F2" s="11"/>
      <c r="G2" s="11"/>
      <c r="H2" s="1"/>
      <c r="I2" s="1"/>
    </row>
    <row x14ac:dyDescent="0.25" r="3" customHeight="1" ht="18.75">
      <c r="A3" s="1" t="s">
        <v>14</v>
      </c>
      <c r="B3" s="1" t="s">
        <v>15</v>
      </c>
      <c r="C3" s="9" t="s">
        <v>16</v>
      </c>
      <c r="D3" s="9" t="s">
        <v>1</v>
      </c>
      <c r="E3" s="10" t="s">
        <v>17</v>
      </c>
      <c r="F3" s="11" t="s">
        <v>18</v>
      </c>
      <c r="G3" s="11" t="s">
        <v>19</v>
      </c>
      <c r="H3" s="1" t="s">
        <v>20</v>
      </c>
      <c r="I3" s="1" t="s">
        <v>21</v>
      </c>
    </row>
    <row x14ac:dyDescent="0.25" r="4" customHeight="1" ht="18.75">
      <c r="A4" s="1" t="s">
        <v>22</v>
      </c>
      <c r="B4" s="1" t="s">
        <v>23</v>
      </c>
      <c r="C4" s="4">
        <v>500</v>
      </c>
      <c r="D4" s="4">
        <v>500</v>
      </c>
      <c r="E4" s="12">
        <v>0.064</v>
      </c>
      <c r="F4" s="13">
        <v>44833</v>
      </c>
      <c r="G4" s="13">
        <v>45564</v>
      </c>
      <c r="H4" s="1" t="s">
        <v>24</v>
      </c>
      <c r="I4" s="1" t="s">
        <v>25</v>
      </c>
    </row>
    <row x14ac:dyDescent="0.25" r="5" customHeight="1" ht="18.75">
      <c r="A5" s="1" t="s">
        <v>26</v>
      </c>
      <c r="B5" s="1" t="s">
        <v>23</v>
      </c>
      <c r="C5" s="4">
        <v>2000</v>
      </c>
      <c r="D5" s="4">
        <v>1833</v>
      </c>
      <c r="E5" s="12">
        <v>0.068</v>
      </c>
      <c r="F5" s="13">
        <v>45421</v>
      </c>
      <c r="G5" s="13">
        <v>45786</v>
      </c>
      <c r="H5" s="1" t="s">
        <v>27</v>
      </c>
      <c r="I5" s="1" t="s">
        <v>25</v>
      </c>
    </row>
    <row x14ac:dyDescent="0.25" r="6" customHeight="1" ht="18.75">
      <c r="A6" s="1" t="s">
        <v>28</v>
      </c>
      <c r="B6" s="1" t="s">
        <v>23</v>
      </c>
      <c r="C6" s="4">
        <v>2000</v>
      </c>
      <c r="D6" s="4">
        <v>2000</v>
      </c>
      <c r="E6" s="12">
        <v>0.067</v>
      </c>
      <c r="F6" s="13">
        <v>45442</v>
      </c>
      <c r="G6" s="13">
        <v>45807</v>
      </c>
      <c r="H6" s="1" t="s">
        <v>27</v>
      </c>
      <c r="I6" s="1" t="s">
        <v>25</v>
      </c>
    </row>
    <row x14ac:dyDescent="0.25" r="7" customHeight="1" ht="18.75">
      <c r="A7" s="1" t="s">
        <v>29</v>
      </c>
      <c r="B7" s="1" t="s">
        <v>23</v>
      </c>
      <c r="C7" s="4">
        <v>2000</v>
      </c>
      <c r="D7" s="4">
        <v>1250</v>
      </c>
      <c r="E7" s="12">
        <v>0.058</v>
      </c>
      <c r="F7" s="13">
        <v>45168</v>
      </c>
      <c r="G7" s="13">
        <v>45899</v>
      </c>
      <c r="H7" s="1" t="s">
        <v>27</v>
      </c>
      <c r="I7" s="1" t="s">
        <v>25</v>
      </c>
    </row>
    <row x14ac:dyDescent="0.25" r="8" customHeight="1" ht="18.75">
      <c r="A8" s="1" t="s">
        <v>30</v>
      </c>
      <c r="B8" s="1"/>
      <c r="C8" s="4">
        <v>6500</v>
      </c>
      <c r="D8" s="4">
        <v>5583</v>
      </c>
      <c r="E8" s="12">
        <v>0.065</v>
      </c>
      <c r="F8" s="13"/>
      <c r="G8" s="13"/>
      <c r="H8" s="1"/>
      <c r="I8" s="1"/>
    </row>
    <row x14ac:dyDescent="0.25" r="9" customHeight="1" ht="18.75">
      <c r="A9" s="1" t="s">
        <v>31</v>
      </c>
      <c r="B9" s="1" t="s">
        <v>32</v>
      </c>
      <c r="C9" s="4">
        <v>3000</v>
      </c>
      <c r="D9" s="4">
        <v>1500</v>
      </c>
      <c r="E9" s="12">
        <v>0.078</v>
      </c>
      <c r="F9" s="13">
        <v>45288</v>
      </c>
      <c r="G9" s="13">
        <v>45654</v>
      </c>
      <c r="H9" s="1" t="s">
        <v>27</v>
      </c>
      <c r="I9" s="1" t="s">
        <v>33</v>
      </c>
    </row>
    <row x14ac:dyDescent="0.25" r="10" customHeight="1" ht="18.75">
      <c r="A10" s="1" t="s">
        <v>34</v>
      </c>
      <c r="B10" s="1" t="s">
        <v>32</v>
      </c>
      <c r="C10" s="4">
        <v>5000</v>
      </c>
      <c r="D10" s="4">
        <v>1446</v>
      </c>
      <c r="E10" s="12">
        <v>0.075</v>
      </c>
      <c r="F10" s="13">
        <v>45069</v>
      </c>
      <c r="G10" s="13">
        <v>45619</v>
      </c>
      <c r="H10" s="1" t="s">
        <v>35</v>
      </c>
      <c r="I10" s="1" t="s">
        <v>33</v>
      </c>
    </row>
    <row x14ac:dyDescent="0.25" r="11" customHeight="1" ht="18.75">
      <c r="A11" s="1" t="s">
        <v>36</v>
      </c>
      <c r="B11" s="1" t="s">
        <v>32</v>
      </c>
      <c r="C11" s="4">
        <v>5000</v>
      </c>
      <c r="D11" s="4">
        <v>840</v>
      </c>
      <c r="E11" s="12">
        <v>0.072</v>
      </c>
      <c r="F11" s="13">
        <v>45148</v>
      </c>
      <c r="G11" s="13">
        <v>45514</v>
      </c>
      <c r="H11" s="1" t="s">
        <v>27</v>
      </c>
      <c r="I11" s="1" t="s">
        <v>33</v>
      </c>
    </row>
    <row x14ac:dyDescent="0.25" r="12" customHeight="1" ht="18.75">
      <c r="A12" s="1" t="s">
        <v>36</v>
      </c>
      <c r="B12" s="1" t="s">
        <v>32</v>
      </c>
      <c r="C12" s="4">
        <v>5000</v>
      </c>
      <c r="D12" s="4">
        <v>4584</v>
      </c>
      <c r="E12" s="12">
        <v>0.074</v>
      </c>
      <c r="F12" s="13">
        <v>45419</v>
      </c>
      <c r="G12" s="13">
        <v>45784</v>
      </c>
      <c r="H12" s="1" t="s">
        <v>27</v>
      </c>
      <c r="I12" s="1" t="s">
        <v>33</v>
      </c>
    </row>
    <row x14ac:dyDescent="0.25" r="13" customHeight="1" ht="18.75">
      <c r="A13" s="1" t="s">
        <v>37</v>
      </c>
      <c r="B13" s="1" t="s">
        <v>32</v>
      </c>
      <c r="C13" s="4">
        <v>6000</v>
      </c>
      <c r="D13" s="4">
        <v>5000</v>
      </c>
      <c r="E13" s="12">
        <v>0.078</v>
      </c>
      <c r="F13" s="13">
        <v>45343</v>
      </c>
      <c r="G13" s="13">
        <v>46074</v>
      </c>
      <c r="H13" s="1" t="s">
        <v>27</v>
      </c>
      <c r="I13" s="1" t="s">
        <v>33</v>
      </c>
    </row>
    <row x14ac:dyDescent="0.25" r="14" customHeight="1" ht="18.75">
      <c r="A14" s="1" t="s">
        <v>38</v>
      </c>
      <c r="B14" s="1" t="s">
        <v>32</v>
      </c>
      <c r="C14" s="4">
        <v>5000</v>
      </c>
      <c r="D14" s="4">
        <v>833</v>
      </c>
      <c r="E14" s="12">
        <v>0.078</v>
      </c>
      <c r="F14" s="13">
        <v>45159</v>
      </c>
      <c r="G14" s="13">
        <v>45525</v>
      </c>
      <c r="H14" s="1" t="s">
        <v>27</v>
      </c>
      <c r="I14" s="1" t="s">
        <v>33</v>
      </c>
    </row>
    <row x14ac:dyDescent="0.25" r="15" customHeight="1" ht="18.75">
      <c r="A15" s="1" t="s">
        <v>39</v>
      </c>
      <c r="B15" s="1" t="s">
        <v>32</v>
      </c>
      <c r="C15" s="4">
        <v>3000</v>
      </c>
      <c r="D15" s="4">
        <v>1549</v>
      </c>
      <c r="E15" s="12">
        <v>0.078</v>
      </c>
      <c r="F15" s="13">
        <v>45181</v>
      </c>
      <c r="G15" s="13">
        <v>45728</v>
      </c>
      <c r="H15" s="1" t="s">
        <v>35</v>
      </c>
      <c r="I15" s="1" t="s">
        <v>33</v>
      </c>
    </row>
    <row x14ac:dyDescent="0.25" r="16" customHeight="1" ht="18.75">
      <c r="A16" s="1" t="s">
        <v>39</v>
      </c>
      <c r="B16" s="1" t="s">
        <v>32</v>
      </c>
      <c r="C16" s="4">
        <v>2000</v>
      </c>
      <c r="D16" s="4">
        <v>1359</v>
      </c>
      <c r="E16" s="12">
        <v>0.078</v>
      </c>
      <c r="F16" s="13">
        <v>45280</v>
      </c>
      <c r="G16" s="13">
        <v>45828</v>
      </c>
      <c r="H16" s="1" t="s">
        <v>35</v>
      </c>
      <c r="I16" s="1" t="s">
        <v>33</v>
      </c>
    </row>
    <row x14ac:dyDescent="0.25" r="17" customHeight="1" ht="18.75">
      <c r="A17" s="1" t="s">
        <v>39</v>
      </c>
      <c r="B17" s="1" t="s">
        <v>32</v>
      </c>
      <c r="C17" s="4">
        <v>2000</v>
      </c>
      <c r="D17" s="4">
        <v>1469</v>
      </c>
      <c r="E17" s="12">
        <v>0.08</v>
      </c>
      <c r="F17" s="13">
        <v>45308</v>
      </c>
      <c r="G17" s="13">
        <v>45855</v>
      </c>
      <c r="H17" s="1" t="s">
        <v>35</v>
      </c>
      <c r="I17" s="1" t="s">
        <v>33</v>
      </c>
    </row>
    <row x14ac:dyDescent="0.25" r="18" customHeight="1" ht="18.75">
      <c r="A18" s="1" t="s">
        <v>39</v>
      </c>
      <c r="B18" s="1" t="s">
        <v>32</v>
      </c>
      <c r="C18" s="4">
        <v>3000</v>
      </c>
      <c r="D18" s="4">
        <v>2838</v>
      </c>
      <c r="E18" s="12">
        <v>0.078</v>
      </c>
      <c r="F18" s="13">
        <v>45440</v>
      </c>
      <c r="G18" s="13">
        <v>45989</v>
      </c>
      <c r="H18" s="1" t="s">
        <v>35</v>
      </c>
      <c r="I18" s="1" t="s">
        <v>33</v>
      </c>
    </row>
    <row x14ac:dyDescent="0.25" r="19" customHeight="1" ht="18.75">
      <c r="A19" s="1" t="s">
        <v>40</v>
      </c>
      <c r="B19" s="1"/>
      <c r="C19" s="4">
        <v>39000</v>
      </c>
      <c r="D19" s="4">
        <v>21418</v>
      </c>
      <c r="E19" s="12">
        <v>0.077</v>
      </c>
      <c r="F19" s="13"/>
      <c r="G19" s="13"/>
      <c r="H19" s="1"/>
      <c r="I19" s="1"/>
    </row>
    <row x14ac:dyDescent="0.25" r="20" customHeight="1" ht="18.75">
      <c r="A20" s="1" t="s">
        <v>41</v>
      </c>
      <c r="B20" s="1" t="s">
        <v>42</v>
      </c>
      <c r="C20" s="4">
        <v>2000</v>
      </c>
      <c r="D20" s="4">
        <v>333</v>
      </c>
      <c r="E20" s="12">
        <v>0.085</v>
      </c>
      <c r="F20" s="13">
        <v>45005</v>
      </c>
      <c r="G20" s="13">
        <v>45555</v>
      </c>
      <c r="H20" s="1" t="s">
        <v>27</v>
      </c>
      <c r="I20" s="1" t="s">
        <v>33</v>
      </c>
    </row>
    <row x14ac:dyDescent="0.25" r="21" customHeight="1" ht="18.75">
      <c r="A21" s="1" t="s">
        <v>43</v>
      </c>
      <c r="B21" s="1" t="s">
        <v>42</v>
      </c>
      <c r="C21" s="4">
        <v>1000</v>
      </c>
      <c r="D21" s="4">
        <v>111</v>
      </c>
      <c r="E21" s="12">
        <v>0.087</v>
      </c>
      <c r="F21" s="13">
        <v>44981</v>
      </c>
      <c r="G21" s="13">
        <v>45528</v>
      </c>
      <c r="H21" s="1" t="s">
        <v>27</v>
      </c>
      <c r="I21" s="1" t="s">
        <v>33</v>
      </c>
    </row>
    <row x14ac:dyDescent="0.25" r="22" customHeight="1" ht="18.75">
      <c r="A22" s="1" t="s">
        <v>44</v>
      </c>
      <c r="B22" s="1" t="s">
        <v>42</v>
      </c>
      <c r="C22" s="4">
        <v>3000</v>
      </c>
      <c r="D22" s="4">
        <v>2667</v>
      </c>
      <c r="E22" s="12">
        <v>0.077</v>
      </c>
      <c r="F22" s="13">
        <v>45401</v>
      </c>
      <c r="G22" s="13">
        <v>45949</v>
      </c>
      <c r="H22" s="1" t="s">
        <v>27</v>
      </c>
      <c r="I22" s="1" t="s">
        <v>33</v>
      </c>
    </row>
    <row x14ac:dyDescent="0.25" r="23" customHeight="1" ht="18.75">
      <c r="A23" s="1" t="s">
        <v>45</v>
      </c>
      <c r="B23" s="1" t="s">
        <v>42</v>
      </c>
      <c r="C23" s="4">
        <v>1000</v>
      </c>
      <c r="D23" s="4">
        <v>444</v>
      </c>
      <c r="E23" s="12">
        <v>0.078</v>
      </c>
      <c r="F23" s="13">
        <v>45160</v>
      </c>
      <c r="G23" s="13">
        <v>45710</v>
      </c>
      <c r="H23" s="1" t="s">
        <v>27</v>
      </c>
      <c r="I23" s="1" t="s">
        <v>33</v>
      </c>
    </row>
    <row x14ac:dyDescent="0.25" r="24" customHeight="1" ht="18.75">
      <c r="A24" s="1" t="s">
        <v>45</v>
      </c>
      <c r="B24" s="1" t="s">
        <v>42</v>
      </c>
      <c r="C24" s="4">
        <v>2000</v>
      </c>
      <c r="D24" s="4">
        <v>1667</v>
      </c>
      <c r="E24" s="12">
        <v>0.078</v>
      </c>
      <c r="F24" s="13">
        <v>45365</v>
      </c>
      <c r="G24" s="13">
        <v>45914</v>
      </c>
      <c r="H24" s="1" t="s">
        <v>27</v>
      </c>
      <c r="I24" s="1" t="s">
        <v>33</v>
      </c>
    </row>
    <row x14ac:dyDescent="0.25" r="25" customHeight="1" ht="18.75">
      <c r="A25" s="1" t="s">
        <v>46</v>
      </c>
      <c r="B25" s="1" t="s">
        <v>42</v>
      </c>
      <c r="C25" s="4">
        <v>3000</v>
      </c>
      <c r="D25" s="4">
        <v>1043</v>
      </c>
      <c r="E25" s="12">
        <v>0.085</v>
      </c>
      <c r="F25" s="13">
        <v>45076</v>
      </c>
      <c r="G25" s="13">
        <v>45626</v>
      </c>
      <c r="H25" s="1" t="s">
        <v>35</v>
      </c>
      <c r="I25" s="1" t="s">
        <v>25</v>
      </c>
    </row>
    <row x14ac:dyDescent="0.25" r="26" customHeight="1" ht="18.75">
      <c r="A26" s="1" t="s">
        <v>47</v>
      </c>
      <c r="B26" s="1" t="s">
        <v>42</v>
      </c>
      <c r="C26" s="4">
        <v>2000</v>
      </c>
      <c r="D26" s="4">
        <v>444</v>
      </c>
      <c r="E26" s="12">
        <v>0.085</v>
      </c>
      <c r="F26" s="13">
        <v>45040</v>
      </c>
      <c r="G26" s="13">
        <v>45589</v>
      </c>
      <c r="H26" s="1" t="s">
        <v>27</v>
      </c>
      <c r="I26" s="1" t="s">
        <v>33</v>
      </c>
    </row>
    <row x14ac:dyDescent="0.25" r="27" customHeight="1" ht="18.75">
      <c r="A27" s="1" t="s">
        <v>47</v>
      </c>
      <c r="B27" s="1" t="s">
        <v>42</v>
      </c>
      <c r="C27" s="4">
        <v>1000</v>
      </c>
      <c r="D27" s="4">
        <v>500</v>
      </c>
      <c r="E27" s="12">
        <v>0.075</v>
      </c>
      <c r="F27" s="13">
        <v>45194</v>
      </c>
      <c r="G27" s="13">
        <v>45741</v>
      </c>
      <c r="H27" s="1" t="s">
        <v>27</v>
      </c>
      <c r="I27" s="1" t="s">
        <v>33</v>
      </c>
    </row>
    <row x14ac:dyDescent="0.25" r="28" customHeight="1" ht="18.75">
      <c r="A28" s="1" t="s">
        <v>47</v>
      </c>
      <c r="B28" s="1" t="s">
        <v>42</v>
      </c>
      <c r="C28" s="4">
        <v>1000</v>
      </c>
      <c r="D28" s="4">
        <v>944</v>
      </c>
      <c r="E28" s="12">
        <v>0.078</v>
      </c>
      <c r="F28" s="13">
        <v>45412</v>
      </c>
      <c r="G28" s="13">
        <v>45960</v>
      </c>
      <c r="H28" s="1" t="s">
        <v>27</v>
      </c>
      <c r="I28" s="1" t="s">
        <v>33</v>
      </c>
    </row>
    <row x14ac:dyDescent="0.25" r="29" customHeight="1" ht="18.75">
      <c r="A29" s="1" t="s">
        <v>48</v>
      </c>
      <c r="B29" s="1" t="s">
        <v>42</v>
      </c>
      <c r="C29" s="4">
        <v>1000</v>
      </c>
      <c r="D29" s="4">
        <v>757</v>
      </c>
      <c r="E29" s="12">
        <v>0.078</v>
      </c>
      <c r="F29" s="13">
        <v>45372</v>
      </c>
      <c r="G29" s="13">
        <v>45737</v>
      </c>
      <c r="H29" s="1" t="s">
        <v>35</v>
      </c>
      <c r="I29" s="1" t="s">
        <v>33</v>
      </c>
    </row>
    <row x14ac:dyDescent="0.25" r="30" customHeight="1" ht="18.75">
      <c r="A30" s="1" t="s">
        <v>49</v>
      </c>
      <c r="B30" s="1" t="s">
        <v>42</v>
      </c>
      <c r="C30" s="4">
        <v>1000</v>
      </c>
      <c r="D30" s="4">
        <v>290</v>
      </c>
      <c r="E30" s="12">
        <v>0.08</v>
      </c>
      <c r="F30" s="13">
        <v>45065</v>
      </c>
      <c r="G30" s="13">
        <v>45615</v>
      </c>
      <c r="H30" s="1" t="s">
        <v>35</v>
      </c>
      <c r="I30" s="1" t="s">
        <v>33</v>
      </c>
    </row>
    <row x14ac:dyDescent="0.25" r="31" customHeight="1" ht="18.75">
      <c r="A31" s="1" t="s">
        <v>50</v>
      </c>
      <c r="B31" s="1" t="s">
        <v>42</v>
      </c>
      <c r="C31" s="4">
        <v>1000</v>
      </c>
      <c r="D31" s="4">
        <v>417</v>
      </c>
      <c r="E31" s="12">
        <v>0.085</v>
      </c>
      <c r="F31" s="13">
        <v>45033</v>
      </c>
      <c r="G31" s="13">
        <v>45764</v>
      </c>
      <c r="H31" s="1" t="s">
        <v>27</v>
      </c>
      <c r="I31" s="1" t="s">
        <v>33</v>
      </c>
    </row>
    <row x14ac:dyDescent="0.25" r="32" customHeight="1" ht="18.75">
      <c r="A32" s="1" t="s">
        <v>50</v>
      </c>
      <c r="B32" s="1" t="s">
        <v>42</v>
      </c>
      <c r="C32" s="4">
        <v>1000</v>
      </c>
      <c r="D32" s="4">
        <v>800</v>
      </c>
      <c r="E32" s="12">
        <v>0.078</v>
      </c>
      <c r="F32" s="13">
        <v>45343</v>
      </c>
      <c r="G32" s="13">
        <v>45951</v>
      </c>
      <c r="H32" s="1" t="s">
        <v>27</v>
      </c>
      <c r="I32" s="1" t="s">
        <v>33</v>
      </c>
    </row>
    <row x14ac:dyDescent="0.25" r="33" customHeight="1" ht="18.75">
      <c r="A33" s="1" t="s">
        <v>51</v>
      </c>
      <c r="B33" s="1" t="s">
        <v>42</v>
      </c>
      <c r="C33" s="4">
        <v>2000</v>
      </c>
      <c r="D33" s="4">
        <v>790</v>
      </c>
      <c r="E33" s="12">
        <v>0.08</v>
      </c>
      <c r="F33" s="13">
        <v>45110</v>
      </c>
      <c r="G33" s="13">
        <v>45660</v>
      </c>
      <c r="H33" s="1" t="s">
        <v>24</v>
      </c>
      <c r="I33" s="1" t="s">
        <v>25</v>
      </c>
    </row>
    <row x14ac:dyDescent="0.25" r="34" customHeight="1" ht="18.75">
      <c r="A34" s="1" t="s">
        <v>52</v>
      </c>
      <c r="B34" s="1" t="s">
        <v>42</v>
      </c>
      <c r="C34" s="4">
        <v>1500</v>
      </c>
      <c r="D34" s="4">
        <v>500</v>
      </c>
      <c r="E34" s="12">
        <v>0.085</v>
      </c>
      <c r="F34" s="13">
        <v>45096</v>
      </c>
      <c r="G34" s="13">
        <v>45645</v>
      </c>
      <c r="H34" s="1" t="s">
        <v>27</v>
      </c>
      <c r="I34" s="1" t="s">
        <v>25</v>
      </c>
    </row>
    <row x14ac:dyDescent="0.25" r="35" customHeight="1" ht="18.75">
      <c r="A35" s="1" t="s">
        <v>52</v>
      </c>
      <c r="B35" s="1" t="s">
        <v>42</v>
      </c>
      <c r="C35" s="4">
        <v>1500</v>
      </c>
      <c r="D35" s="4">
        <v>1083</v>
      </c>
      <c r="E35" s="12">
        <v>0.078</v>
      </c>
      <c r="F35" s="13">
        <v>45310</v>
      </c>
      <c r="G35" s="13">
        <v>45857</v>
      </c>
      <c r="H35" s="1" t="s">
        <v>27</v>
      </c>
      <c r="I35" s="1" t="s">
        <v>33</v>
      </c>
    </row>
    <row x14ac:dyDescent="0.25" r="36" customHeight="1" ht="18.75">
      <c r="A36" s="1" t="s">
        <v>53</v>
      </c>
      <c r="B36" s="1" t="s">
        <v>42</v>
      </c>
      <c r="C36" s="4">
        <v>3000</v>
      </c>
      <c r="D36" s="4">
        <v>1038</v>
      </c>
      <c r="E36" s="12">
        <v>0.076</v>
      </c>
      <c r="F36" s="13">
        <v>45090</v>
      </c>
      <c r="G36" s="13">
        <v>45639</v>
      </c>
      <c r="H36" s="1" t="s">
        <v>35</v>
      </c>
      <c r="I36" s="1" t="s">
        <v>33</v>
      </c>
    </row>
    <row x14ac:dyDescent="0.25" r="37" customHeight="1" ht="18.75">
      <c r="A37" s="1" t="s">
        <v>54</v>
      </c>
      <c r="B37" s="1" t="s">
        <v>42</v>
      </c>
      <c r="C37" s="4">
        <v>2000</v>
      </c>
      <c r="D37" s="4">
        <v>917</v>
      </c>
      <c r="E37" s="12">
        <v>0.075</v>
      </c>
      <c r="F37" s="13">
        <v>45145</v>
      </c>
      <c r="G37" s="13">
        <v>45695</v>
      </c>
      <c r="H37" s="1" t="s">
        <v>35</v>
      </c>
      <c r="I37" s="1" t="s">
        <v>33</v>
      </c>
    </row>
    <row x14ac:dyDescent="0.25" r="38" customHeight="1" ht="18.75">
      <c r="A38" s="1" t="s">
        <v>54</v>
      </c>
      <c r="B38" s="1" t="s">
        <v>42</v>
      </c>
      <c r="C38" s="4">
        <v>2000</v>
      </c>
      <c r="D38" s="4">
        <v>1683</v>
      </c>
      <c r="E38" s="12">
        <v>0.078</v>
      </c>
      <c r="F38" s="13">
        <v>45376</v>
      </c>
      <c r="G38" s="13">
        <v>45925</v>
      </c>
      <c r="H38" s="1" t="s">
        <v>35</v>
      </c>
      <c r="I38" s="1" t="s">
        <v>55</v>
      </c>
    </row>
    <row x14ac:dyDescent="0.25" r="39" customHeight="1" ht="18.75">
      <c r="A39" s="1" t="s">
        <v>56</v>
      </c>
      <c r="B39" s="1" t="s">
        <v>42</v>
      </c>
      <c r="C39" s="4">
        <v>1000</v>
      </c>
      <c r="D39" s="4">
        <v>611</v>
      </c>
      <c r="E39" s="12">
        <v>0.085</v>
      </c>
      <c r="F39" s="13">
        <v>45236</v>
      </c>
      <c r="G39" s="13">
        <v>45783</v>
      </c>
      <c r="H39" s="1" t="s">
        <v>27</v>
      </c>
      <c r="I39" s="1" t="s">
        <v>25</v>
      </c>
    </row>
    <row x14ac:dyDescent="0.25" r="40" customHeight="1" ht="18.75">
      <c r="A40" s="1" t="s">
        <v>56</v>
      </c>
      <c r="B40" s="1" t="s">
        <v>42</v>
      </c>
      <c r="C40" s="4">
        <v>1000</v>
      </c>
      <c r="D40" s="4">
        <v>778</v>
      </c>
      <c r="E40" s="12">
        <v>0.08</v>
      </c>
      <c r="F40" s="13">
        <v>45328</v>
      </c>
      <c r="G40" s="13">
        <v>45875</v>
      </c>
      <c r="H40" s="1" t="s">
        <v>27</v>
      </c>
      <c r="I40" s="1" t="s">
        <v>25</v>
      </c>
    </row>
    <row x14ac:dyDescent="0.25" r="41" customHeight="1" ht="18.75">
      <c r="A41" s="1" t="s">
        <v>56</v>
      </c>
      <c r="B41" s="1" t="s">
        <v>42</v>
      </c>
      <c r="C41" s="4">
        <v>850</v>
      </c>
      <c r="D41" s="4">
        <v>850</v>
      </c>
      <c r="E41" s="12">
        <v>0.079</v>
      </c>
      <c r="F41" s="13">
        <v>45385</v>
      </c>
      <c r="G41" s="13">
        <v>45554</v>
      </c>
      <c r="H41" s="1" t="s">
        <v>24</v>
      </c>
      <c r="I41" s="1" t="s">
        <v>57</v>
      </c>
    </row>
    <row x14ac:dyDescent="0.25" r="42" customHeight="1" ht="18.75">
      <c r="A42" s="1" t="s">
        <v>58</v>
      </c>
      <c r="B42" s="1" t="s">
        <v>42</v>
      </c>
      <c r="C42" s="4">
        <v>3000</v>
      </c>
      <c r="D42" s="4">
        <v>667</v>
      </c>
      <c r="E42" s="12">
        <v>0.075</v>
      </c>
      <c r="F42" s="13">
        <v>45026</v>
      </c>
      <c r="G42" s="13">
        <v>45575</v>
      </c>
      <c r="H42" s="1" t="s">
        <v>27</v>
      </c>
      <c r="I42" s="1" t="s">
        <v>33</v>
      </c>
    </row>
    <row x14ac:dyDescent="0.25" r="43" customHeight="1" ht="18.75">
      <c r="A43" s="1" t="s">
        <v>58</v>
      </c>
      <c r="B43" s="1" t="s">
        <v>42</v>
      </c>
      <c r="C43" s="4">
        <v>1300</v>
      </c>
      <c r="D43" s="4">
        <v>1011</v>
      </c>
      <c r="E43" s="12">
        <v>0.078</v>
      </c>
      <c r="F43" s="13">
        <v>45322</v>
      </c>
      <c r="G43" s="13">
        <v>45869</v>
      </c>
      <c r="H43" s="1" t="s">
        <v>27</v>
      </c>
      <c r="I43" s="1" t="s">
        <v>33</v>
      </c>
    </row>
    <row x14ac:dyDescent="0.25" r="44" customHeight="1" ht="18.75">
      <c r="A44" s="1" t="s">
        <v>59</v>
      </c>
      <c r="B44" s="1" t="s">
        <v>42</v>
      </c>
      <c r="C44" s="4">
        <v>5000</v>
      </c>
      <c r="D44" s="4">
        <v>3056</v>
      </c>
      <c r="E44" s="12">
        <v>0.078</v>
      </c>
      <c r="F44" s="13">
        <v>45252</v>
      </c>
      <c r="G44" s="13">
        <v>45799</v>
      </c>
      <c r="H44" s="1" t="s">
        <v>27</v>
      </c>
      <c r="I44" s="1" t="s">
        <v>33</v>
      </c>
    </row>
    <row x14ac:dyDescent="0.25" r="45" customHeight="1" ht="18.75">
      <c r="A45" s="1" t="s">
        <v>60</v>
      </c>
      <c r="B45" s="1" t="s">
        <v>42</v>
      </c>
      <c r="C45" s="4">
        <v>3000</v>
      </c>
      <c r="D45" s="4">
        <v>352</v>
      </c>
      <c r="E45" s="12">
        <v>0.09</v>
      </c>
      <c r="F45" s="13">
        <v>44985</v>
      </c>
      <c r="G45" s="13">
        <v>45532</v>
      </c>
      <c r="H45" s="1" t="s">
        <v>35</v>
      </c>
      <c r="I45" s="1" t="s">
        <v>33</v>
      </c>
    </row>
    <row x14ac:dyDescent="0.25" r="46" customHeight="1" ht="18.75">
      <c r="A46" s="1" t="s">
        <v>61</v>
      </c>
      <c r="B46" s="1" t="s">
        <v>42</v>
      </c>
      <c r="C46" s="4">
        <v>3000</v>
      </c>
      <c r="D46" s="4">
        <v>2859</v>
      </c>
      <c r="E46" s="12">
        <v>0.076</v>
      </c>
      <c r="F46" s="13">
        <v>45433</v>
      </c>
      <c r="G46" s="13">
        <v>46043</v>
      </c>
      <c r="H46" s="1" t="s">
        <v>35</v>
      </c>
      <c r="I46" s="1" t="s">
        <v>33</v>
      </c>
    </row>
    <row x14ac:dyDescent="0.25" r="47" customHeight="1" ht="18.75">
      <c r="A47" s="1" t="s">
        <v>62</v>
      </c>
      <c r="B47" s="1" t="s">
        <v>42</v>
      </c>
      <c r="C47" s="4">
        <v>2000</v>
      </c>
      <c r="D47" s="4">
        <v>1778</v>
      </c>
      <c r="E47" s="12">
        <v>0.078</v>
      </c>
      <c r="F47" s="13">
        <v>45386</v>
      </c>
      <c r="G47" s="13">
        <v>45934</v>
      </c>
      <c r="H47" s="1" t="s">
        <v>27</v>
      </c>
      <c r="I47" s="1" t="s">
        <v>33</v>
      </c>
    </row>
    <row x14ac:dyDescent="0.25" r="48" customHeight="1" ht="18.75">
      <c r="A48" s="1" t="s">
        <v>62</v>
      </c>
      <c r="B48" s="1" t="s">
        <v>42</v>
      </c>
      <c r="C48" s="4">
        <v>2000</v>
      </c>
      <c r="D48" s="4">
        <v>2000</v>
      </c>
      <c r="E48" s="12">
        <v>0.078</v>
      </c>
      <c r="F48" s="13">
        <v>45470</v>
      </c>
      <c r="G48" s="13">
        <v>45653</v>
      </c>
      <c r="H48" s="1" t="s">
        <v>27</v>
      </c>
      <c r="I48" s="1" t="s">
        <v>25</v>
      </c>
    </row>
    <row x14ac:dyDescent="0.25" r="49" customHeight="1" ht="18.75">
      <c r="A49" s="1" t="s">
        <v>63</v>
      </c>
      <c r="B49" s="1" t="s">
        <v>42</v>
      </c>
      <c r="C49" s="4">
        <v>3000</v>
      </c>
      <c r="D49" s="4">
        <v>2667</v>
      </c>
      <c r="E49" s="12">
        <v>0.076</v>
      </c>
      <c r="F49" s="13">
        <v>45009</v>
      </c>
      <c r="G49" s="13">
        <v>45559</v>
      </c>
      <c r="H49" s="1" t="s">
        <v>27</v>
      </c>
      <c r="I49" s="1" t="s">
        <v>33</v>
      </c>
    </row>
    <row x14ac:dyDescent="0.25" r="50" customHeight="1" ht="18.75">
      <c r="A50" s="1" t="s">
        <v>64</v>
      </c>
      <c r="B50" s="1" t="s">
        <v>42</v>
      </c>
      <c r="C50" s="4">
        <v>2000</v>
      </c>
      <c r="D50" s="4">
        <v>352</v>
      </c>
      <c r="E50" s="12">
        <v>0.085</v>
      </c>
      <c r="F50" s="13">
        <v>45008</v>
      </c>
      <c r="G50" s="13">
        <v>45558</v>
      </c>
      <c r="H50" s="1" t="s">
        <v>35</v>
      </c>
      <c r="I50" s="1" t="s">
        <v>33</v>
      </c>
    </row>
    <row x14ac:dyDescent="0.25" r="51" customHeight="1" ht="18.75">
      <c r="A51" s="1" t="s">
        <v>64</v>
      </c>
      <c r="B51" s="1" t="s">
        <v>42</v>
      </c>
      <c r="C51" s="4">
        <v>2000</v>
      </c>
      <c r="D51" s="4">
        <v>1895</v>
      </c>
      <c r="E51" s="12">
        <v>0.077</v>
      </c>
      <c r="F51" s="13">
        <v>45429</v>
      </c>
      <c r="G51" s="13">
        <v>45978</v>
      </c>
      <c r="H51" s="1" t="s">
        <v>35</v>
      </c>
      <c r="I51" s="1" t="s">
        <v>33</v>
      </c>
    </row>
    <row x14ac:dyDescent="0.25" r="52" customHeight="1" ht="18.75">
      <c r="A52" s="1" t="s">
        <v>65</v>
      </c>
      <c r="B52" s="1" t="s">
        <v>42</v>
      </c>
      <c r="C52" s="4">
        <v>3000</v>
      </c>
      <c r="D52" s="4">
        <v>351</v>
      </c>
      <c r="E52" s="12">
        <v>0.085</v>
      </c>
      <c r="F52" s="13">
        <v>44985</v>
      </c>
      <c r="G52" s="13">
        <v>45532</v>
      </c>
      <c r="H52" s="1" t="s">
        <v>35</v>
      </c>
      <c r="I52" s="1" t="s">
        <v>33</v>
      </c>
    </row>
    <row x14ac:dyDescent="0.25" r="53" customHeight="1" ht="18.75">
      <c r="A53" s="1" t="s">
        <v>65</v>
      </c>
      <c r="B53" s="1" t="s">
        <v>42</v>
      </c>
      <c r="C53" s="4">
        <v>2000</v>
      </c>
      <c r="D53" s="4">
        <v>2000</v>
      </c>
      <c r="E53" s="12">
        <v>0.075</v>
      </c>
      <c r="F53" s="13">
        <v>45457</v>
      </c>
      <c r="G53" s="13">
        <v>46005</v>
      </c>
      <c r="H53" s="1" t="s">
        <v>35</v>
      </c>
      <c r="I53" s="1" t="s">
        <v>33</v>
      </c>
    </row>
    <row x14ac:dyDescent="0.25" r="54" customHeight="1" ht="18.75">
      <c r="A54" s="1" t="s">
        <v>66</v>
      </c>
      <c r="B54" s="1" t="s">
        <v>42</v>
      </c>
      <c r="C54" s="4">
        <v>2000</v>
      </c>
      <c r="D54" s="4">
        <v>1444</v>
      </c>
      <c r="E54" s="12">
        <v>0.079</v>
      </c>
      <c r="F54" s="13">
        <v>45308</v>
      </c>
      <c r="G54" s="13">
        <v>45855</v>
      </c>
      <c r="H54" s="1" t="s">
        <v>27</v>
      </c>
      <c r="I54" s="1" t="s">
        <v>33</v>
      </c>
    </row>
    <row x14ac:dyDescent="0.25" r="55" customHeight="1" ht="18.75">
      <c r="A55" s="1" t="s">
        <v>67</v>
      </c>
      <c r="B55" s="1" t="s">
        <v>42</v>
      </c>
      <c r="C55" s="4">
        <v>3000</v>
      </c>
      <c r="D55" s="4">
        <v>167</v>
      </c>
      <c r="E55" s="12">
        <v>0.09</v>
      </c>
      <c r="F55" s="13">
        <v>44932</v>
      </c>
      <c r="G55" s="13">
        <v>45479</v>
      </c>
      <c r="H55" s="1" t="s">
        <v>27</v>
      </c>
      <c r="I55" s="1" t="s">
        <v>33</v>
      </c>
    </row>
    <row x14ac:dyDescent="0.25" r="56" customHeight="1" ht="18.75">
      <c r="A56" s="1" t="s">
        <v>67</v>
      </c>
      <c r="B56" s="1" t="s">
        <v>42</v>
      </c>
      <c r="C56" s="4">
        <v>3000</v>
      </c>
      <c r="D56" s="4">
        <v>2000</v>
      </c>
      <c r="E56" s="12">
        <v>0.078</v>
      </c>
      <c r="F56" s="13">
        <v>45267</v>
      </c>
      <c r="G56" s="13">
        <v>45815</v>
      </c>
      <c r="H56" s="1" t="s">
        <v>27</v>
      </c>
      <c r="I56" s="1" t="s">
        <v>33</v>
      </c>
    </row>
    <row x14ac:dyDescent="0.25" r="57" customHeight="1" ht="18.75">
      <c r="A57" s="1" t="s">
        <v>67</v>
      </c>
      <c r="B57" s="1" t="s">
        <v>42</v>
      </c>
      <c r="C57" s="4">
        <v>4000</v>
      </c>
      <c r="D57" s="4">
        <v>4000</v>
      </c>
      <c r="E57" s="12">
        <v>0.076</v>
      </c>
      <c r="F57" s="13">
        <v>45442</v>
      </c>
      <c r="G57" s="13">
        <v>45991</v>
      </c>
      <c r="H57" s="1" t="s">
        <v>27</v>
      </c>
      <c r="I57" s="1" t="s">
        <v>33</v>
      </c>
    </row>
    <row x14ac:dyDescent="0.25" r="58" customHeight="1" ht="18.75">
      <c r="A58" s="1" t="s">
        <v>68</v>
      </c>
      <c r="B58" s="1"/>
      <c r="C58" s="4">
        <v>78150</v>
      </c>
      <c r="D58" s="4">
        <v>45268</v>
      </c>
      <c r="E58" s="12">
        <v>0.078</v>
      </c>
      <c r="F58" s="13"/>
      <c r="G58" s="13"/>
      <c r="H58" s="1"/>
      <c r="I58" s="1"/>
    </row>
    <row x14ac:dyDescent="0.25" r="59" customHeight="1" ht="18.75">
      <c r="A59" s="1" t="s">
        <v>69</v>
      </c>
      <c r="B59" s="1" t="s">
        <v>70</v>
      </c>
      <c r="C59" s="4">
        <v>5000</v>
      </c>
      <c r="D59" s="4">
        <v>380</v>
      </c>
      <c r="E59" s="12">
        <v>0.075</v>
      </c>
      <c r="F59" s="13">
        <v>45114</v>
      </c>
      <c r="G59" s="13">
        <v>45480</v>
      </c>
      <c r="H59" s="1" t="s">
        <v>27</v>
      </c>
      <c r="I59" s="1" t="s">
        <v>33</v>
      </c>
    </row>
    <row x14ac:dyDescent="0.25" r="60" customHeight="1" ht="18.75">
      <c r="A60" s="1" t="s">
        <v>69</v>
      </c>
      <c r="B60" s="1" t="s">
        <v>70</v>
      </c>
      <c r="C60" s="4">
        <v>4000</v>
      </c>
      <c r="D60" s="4">
        <v>1669</v>
      </c>
      <c r="E60" s="12">
        <v>0.078</v>
      </c>
      <c r="F60" s="13">
        <v>45229</v>
      </c>
      <c r="G60" s="13">
        <v>45595</v>
      </c>
      <c r="H60" s="1" t="s">
        <v>27</v>
      </c>
      <c r="I60" s="1" t="s">
        <v>33</v>
      </c>
    </row>
    <row x14ac:dyDescent="0.25" r="61" customHeight="1" ht="18.75">
      <c r="A61" s="1" t="s">
        <v>69</v>
      </c>
      <c r="B61" s="1" t="s">
        <v>70</v>
      </c>
      <c r="C61" s="4">
        <v>4000</v>
      </c>
      <c r="D61" s="4">
        <v>1669</v>
      </c>
      <c r="E61" s="12">
        <v>0.078</v>
      </c>
      <c r="F61" s="13">
        <v>45238</v>
      </c>
      <c r="G61" s="13">
        <v>45604</v>
      </c>
      <c r="H61" s="1" t="s">
        <v>27</v>
      </c>
      <c r="I61" s="1" t="s">
        <v>33</v>
      </c>
    </row>
    <row x14ac:dyDescent="0.25" r="62" customHeight="1" ht="18.75">
      <c r="A62" s="1" t="s">
        <v>71</v>
      </c>
      <c r="B62" s="1"/>
      <c r="C62" s="4">
        <v>13000</v>
      </c>
      <c r="D62" s="4">
        <v>3718</v>
      </c>
      <c r="E62" s="12">
        <v>0.078</v>
      </c>
      <c r="F62" s="13"/>
      <c r="G62" s="13"/>
      <c r="H62" s="1"/>
      <c r="I62" s="1"/>
    </row>
    <row x14ac:dyDescent="0.25" r="63" customHeight="1" ht="18.75">
      <c r="A63" s="1" t="s">
        <v>72</v>
      </c>
      <c r="B63" s="1" t="s">
        <v>73</v>
      </c>
      <c r="C63" s="4">
        <v>7400</v>
      </c>
      <c r="D63" s="4">
        <v>4352</v>
      </c>
      <c r="E63" s="12">
        <v>0.104</v>
      </c>
      <c r="F63" s="13" t="s">
        <v>74</v>
      </c>
      <c r="G63" s="13" t="s">
        <v>74</v>
      </c>
      <c r="H63" s="1" t="s">
        <v>75</v>
      </c>
      <c r="I63" s="1" t="s">
        <v>25</v>
      </c>
    </row>
    <row x14ac:dyDescent="0.25" r="64" customHeight="1" ht="18.75">
      <c r="A64" s="1"/>
      <c r="B64" s="1"/>
      <c r="C64" s="9"/>
      <c r="D64" s="9"/>
      <c r="E64" s="10"/>
      <c r="F64" s="13"/>
      <c r="G64" s="13"/>
      <c r="H64" s="1" t="s">
        <v>76</v>
      </c>
      <c r="I64" s="1"/>
    </row>
    <row x14ac:dyDescent="0.25" r="65" customHeight="1" ht="18.75">
      <c r="A65" s="1" t="s">
        <v>77</v>
      </c>
      <c r="B65" s="1"/>
      <c r="C65" s="4">
        <v>7400</v>
      </c>
      <c r="D65" s="4">
        <v>4352</v>
      </c>
      <c r="E65" s="14">
        <v>0.104</v>
      </c>
      <c r="F65" s="13"/>
      <c r="G65" s="13"/>
      <c r="H65" s="1"/>
      <c r="I65" s="1"/>
    </row>
    <row x14ac:dyDescent="0.25" r="66" customHeight="1" ht="18.75">
      <c r="A66" s="1" t="s">
        <v>78</v>
      </c>
      <c r="B66" s="1"/>
      <c r="C66" s="4">
        <v>27300</v>
      </c>
      <c r="D66" s="4">
        <v>24467</v>
      </c>
      <c r="E66" s="10" t="s">
        <v>79</v>
      </c>
      <c r="F66" s="13">
        <v>44715</v>
      </c>
      <c r="G66" s="13">
        <v>46141</v>
      </c>
      <c r="H66" s="1"/>
      <c r="I66" s="1" t="s">
        <v>25</v>
      </c>
    </row>
    <row x14ac:dyDescent="0.25" r="67" customHeight="1" ht="18.75">
      <c r="A67" s="1" t="s">
        <v>80</v>
      </c>
      <c r="B67" s="1"/>
      <c r="C67" s="4">
        <v>27300</v>
      </c>
      <c r="D67" s="4">
        <v>24467</v>
      </c>
      <c r="E67" s="14">
        <v>0.076</v>
      </c>
      <c r="F67" s="11"/>
      <c r="G67" s="11"/>
      <c r="H67" s="1"/>
      <c r="I67" s="1"/>
    </row>
    <row x14ac:dyDescent="0.25" r="68" customHeight="1" ht="18.75">
      <c r="A68" s="1" t="s">
        <v>81</v>
      </c>
      <c r="B68" s="1"/>
      <c r="C68" s="4">
        <v>171350</v>
      </c>
      <c r="D68" s="4">
        <v>104805</v>
      </c>
      <c r="E68" s="10"/>
      <c r="F68" s="11"/>
      <c r="G68" s="11"/>
      <c r="H68" s="1"/>
      <c r="I68" s="1"/>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8"/>
  <sheetViews>
    <sheetView workbookViewId="0"/>
  </sheetViews>
  <sheetFormatPr defaultRowHeight="15" x14ac:dyDescent="0.25"/>
  <cols>
    <col min="1" max="1" style="6" width="13.576428571428572" customWidth="1" bestFit="1"/>
    <col min="2" max="2" style="7" width="13.576428571428572" customWidth="1" bestFit="1"/>
    <col min="3" max="3" style="8" width="13.576428571428572" customWidth="1" bestFit="1"/>
  </cols>
  <sheetData>
    <row x14ac:dyDescent="0.25" r="1" customHeight="1" ht="18.75">
      <c r="A1" s="1" t="s">
        <v>0</v>
      </c>
      <c r="B1" s="2" t="s">
        <v>1</v>
      </c>
      <c r="C1" s="3" t="s">
        <v>2</v>
      </c>
    </row>
    <row x14ac:dyDescent="0.25" r="2" customHeight="1" ht="18.75">
      <c r="A2" s="1" t="s">
        <v>3</v>
      </c>
      <c r="B2" s="4">
        <v>5583</v>
      </c>
      <c r="C2" s="5">
        <f>B2/B8</f>
      </c>
    </row>
    <row x14ac:dyDescent="0.25" r="3" customHeight="1" ht="18.75">
      <c r="A3" s="1" t="s">
        <v>4</v>
      </c>
      <c r="B3" s="4">
        <v>4352</v>
      </c>
      <c r="C3" s="5">
        <f>B3/B8</f>
      </c>
    </row>
    <row x14ac:dyDescent="0.25" r="4" customHeight="1" ht="18.75">
      <c r="A4" s="1" t="s">
        <v>5</v>
      </c>
      <c r="B4" s="4">
        <v>45268</v>
      </c>
      <c r="C4" s="5">
        <f>B4/B8</f>
      </c>
    </row>
    <row x14ac:dyDescent="0.25" r="5" customHeight="1" ht="18.75">
      <c r="A5" s="1" t="s">
        <v>6</v>
      </c>
      <c r="B5" s="4">
        <v>21418</v>
      </c>
      <c r="C5" s="5">
        <f>B5/B8</f>
      </c>
    </row>
    <row x14ac:dyDescent="0.25" r="6" customHeight="1" ht="18.75">
      <c r="A6" s="1" t="s">
        <v>7</v>
      </c>
      <c r="B6" s="4">
        <v>3718</v>
      </c>
      <c r="C6" s="5">
        <f>B6/B8</f>
      </c>
    </row>
    <row x14ac:dyDescent="0.25" r="7" customHeight="1" ht="18.75">
      <c r="A7" s="1" t="s">
        <v>8</v>
      </c>
      <c r="B7" s="4">
        <v>24467</v>
      </c>
      <c r="C7" s="5">
        <f>B7/B8</f>
      </c>
    </row>
    <row x14ac:dyDescent="0.25" r="8" customHeight="1" ht="18.75">
      <c r="A8" s="1" t="s">
        <v>9</v>
      </c>
      <c r="B8" s="4">
        <f>SUM(B2:B7)</f>
      </c>
      <c r="C8" s="5">
        <f>SUM(C2:C7)</f>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30</vt:i4>
      </vt:variant>
    </vt:vector>
  </HeadingPairs>
  <TitlesOfParts>
    <vt:vector baseType="lpstr" size="30">
      <vt:lpstr>개요</vt:lpstr>
      <vt:lpstr>담보사항</vt:lpstr>
      <vt:lpstr>신청사 개요</vt:lpstr>
      <vt:lpstr>신청사 주주현황</vt:lpstr>
      <vt:lpstr>신청사 대표 경력</vt:lpstr>
      <vt:lpstr>신청사 BS</vt:lpstr>
      <vt:lpstr>신청사 PL</vt:lpstr>
      <vt:lpstr>신청사 차입금현황</vt:lpstr>
      <vt:lpstr>신청사 영업 주요상품</vt:lpstr>
      <vt:lpstr>신청사 대출상품 잔액 및 비중</vt:lpstr>
      <vt:lpstr>신청사 월별 영업현황</vt:lpstr>
      <vt:lpstr>신청사 월별 대출취급 및 원리금상환 현황</vt:lpstr>
      <vt:lpstr>신청사 총자산한도 현황</vt:lpstr>
      <vt:lpstr>신청사 연체율 현황</vt:lpstr>
      <vt:lpstr>신청사 연체율 현황(당해년도분)</vt:lpstr>
      <vt:lpstr>신청사 대손충당금 현황</vt:lpstr>
      <vt:lpstr>신청사 대손충당금 적립비율</vt:lpstr>
      <vt:lpstr>신청사 자산건전성 현황</vt:lpstr>
      <vt:lpstr>보증사 개요</vt:lpstr>
      <vt:lpstr>보증사 주주현황</vt:lpstr>
      <vt:lpstr>보증사 BS</vt:lpstr>
      <vt:lpstr>보증사 PL</vt:lpstr>
      <vt:lpstr>보증사 주요 재무지표</vt:lpstr>
      <vt:lpstr>보증사 영업현황</vt:lpstr>
      <vt:lpstr>보증사 월별 영업현황</vt:lpstr>
      <vt:lpstr>보증사 총자산한도</vt:lpstr>
      <vt:lpstr>별첨1.차주 차입금현황</vt:lpstr>
      <vt:lpstr>별첨1.1 차주 차입금 요약표</vt:lpstr>
      <vt:lpstr>별첨2 보증사 차입금 현황</vt:lpstr>
      <vt:lpstr>보증사 차입금 요약표</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2025-11-26T11:52:36.881Z</dcterms:created>
  <dcterms:modified xsi:type="dcterms:W3CDTF">2025-11-26T11:52:36.881Z</dcterms:modified>
</cp:coreProperties>
</file>